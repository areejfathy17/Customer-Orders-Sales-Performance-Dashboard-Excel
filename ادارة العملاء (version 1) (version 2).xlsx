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ITP_2025\freelance\زفت2\"/>
    </mc:Choice>
  </mc:AlternateContent>
  <xr:revisionPtr revIDLastSave="0" documentId="13_ncr:1_{60E92400-0C34-41F3-BC13-685CE298A78F}" xr6:coauthVersionLast="47" xr6:coauthVersionMax="47" xr10:uidLastSave="{00000000-0000-0000-0000-000000000000}"/>
  <bookViews>
    <workbookView xWindow="-96" yWindow="-96" windowWidth="23232" windowHeight="12552" xr2:uid="{A56F8EF9-5F25-41A0-A105-C77893D417E5}"/>
  </bookViews>
  <sheets>
    <sheet name="dashboard" sheetId="7" r:id="rId1"/>
    <sheet name="Sheet2" sheetId="2" state="hidden" r:id="rId2"/>
    <sheet name="Sheet5" sheetId="6" state="hidden" r:id="rId3"/>
    <sheet name="data table" sheetId="1" r:id="rId4"/>
  </sheets>
  <definedNames>
    <definedName name="_xlcn.WorksheetConnection_datatableAS1" hidden="1">'data table'!$A:$S</definedName>
    <definedName name="_xlcn.WorksheetConnection_ادارةالعملاءversion1.xlsxTable11" hidden="1">Table1[]</definedName>
    <definedName name="_xlcn.WorksheetConnection_ادارةالعملاءversion1.xlsxTable21" hidden="1">Table2[]</definedName>
    <definedName name="Slicer_التاريخ">#N/A</definedName>
    <definedName name="Slicer_المنتج_المناسب">#N/A</definedName>
    <definedName name="Slicer_مصدر_العميل">#N/A</definedName>
  </definedNames>
  <calcPr calcId="191029"/>
  <pivotCaches>
    <pivotCache cacheId="67" r:id="rId5"/>
    <pivotCache cacheId="71" r:id="rId6"/>
    <pivotCache cacheId="80" r:id="rId7"/>
  </pivotCaches>
  <extLst>
    <ext xmlns:x14="http://schemas.microsoft.com/office/spreadsheetml/2009/9/main" uri="{876F7934-8845-4945-9796-88D515C7AA90}">
      <x14:pivotCaches>
        <pivotCache cacheId="66"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ادارة العملاء (version 1).xlsx!Table2"/>
          <x15:modelTable id="Table1" name="Table1" connection="WorksheetConnection_ادارة العملاء (version 1).xlsx!Table1"/>
          <x15:modelTable id="Range" name="Range" connection="WorksheetConnection_data table!$A:$S"/>
        </x15:modelTables>
        <x15:modelRelationships>
          <x15:modelRelationship fromTable="Table2" fromColumn="التاريخ" toTable="Table1" toColumn="التاريخ"/>
        </x15:modelRelationships>
        <x15:extLst>
          <ext xmlns:x16="http://schemas.microsoft.com/office/spreadsheetml/2014/11/main" uri="{9835A34E-60A6-4A7C-AAB8-D5F71C897F49}">
            <x16:modelTimeGroupings>
              <x16:modelTimeGrouping tableName="Table2" columnName="التاريخ" columnId="التاريخ">
                <x16:calculatedTimeColumn columnName="التاريخ (Year)" columnId="التاريخ (Year)" contentType="years" isSelected="1"/>
                <x16:calculatedTimeColumn columnName="التاريخ (Month Index)" columnId="التاريخ (Month Index)" contentType="monthsindex" isSelected="1"/>
                <x16:calculatedTimeColumn columnName="التاريخ (Month)" columnId="التاريخ (Month)" contentType="months" isSelected="1"/>
                <x16:calculatedTimeColumn columnName="التاريخ (Day Index)" columnId="التاريخ (Day Index)" contentType="daysindex" isSelected="1"/>
                <x16:calculatedTimeColumn columnName="التاريخ (Day)" columnId="التاريخ (Day)" contentType="days" isSelected="1"/>
              </x16:modelTimeGrouping>
              <x16:modelTimeGrouping tableName="Table1" columnName="التاريخ" columnId="التاريخ">
                <x16:calculatedTimeColumn columnName="التاريخ (Year)" columnId="التاريخ (Year)" contentType="years" isSelected="1"/>
                <x16:calculatedTimeColumn columnName="التاريخ (Month Index)" columnId="التاريخ (Month Index)" contentType="monthsindex" isSelected="1"/>
                <x16:calculatedTimeColumn columnName="التاريخ (Month)" columnId="التاريخ (Month)" contentType="months" isSelected="1"/>
                <x16:calculatedTimeColumn columnName="التاريخ (Day Index)" columnId="التاريخ (Day Index)" contentType="daysindex" isSelected="1"/>
                <x16:calculatedTimeColumn columnName="التاريخ (Day)" columnId="التاريخ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1" i="1" l="1"/>
  <c r="R41" i="1"/>
  <c r="S41" i="1" s="1"/>
  <c r="T41" i="1"/>
  <c r="T40" i="1"/>
  <c r="R40" i="1"/>
  <c r="S40" i="1" s="1"/>
  <c r="O40" i="1"/>
  <c r="T39" i="1"/>
  <c r="R39" i="1"/>
  <c r="S39" i="1" s="1"/>
  <c r="O39" i="1"/>
  <c r="T38" i="1"/>
  <c r="R38" i="1"/>
  <c r="S38" i="1" s="1"/>
  <c r="O38" i="1"/>
  <c r="T37" i="1"/>
  <c r="R37" i="1"/>
  <c r="S37" i="1" s="1"/>
  <c r="O37" i="1"/>
  <c r="T36" i="1"/>
  <c r="R36" i="1"/>
  <c r="S36" i="1" s="1"/>
  <c r="O36" i="1"/>
  <c r="T35" i="1"/>
  <c r="R35" i="1"/>
  <c r="S35" i="1" s="1"/>
  <c r="O35" i="1"/>
  <c r="T34" i="1"/>
  <c r="R34" i="1"/>
  <c r="S34" i="1" s="1"/>
  <c r="O34" i="1"/>
  <c r="T33" i="1"/>
  <c r="R33" i="1"/>
  <c r="S33" i="1" s="1"/>
  <c r="O33" i="1"/>
  <c r="T32" i="1"/>
  <c r="R32" i="1"/>
  <c r="S32" i="1" s="1"/>
  <c r="O32" i="1"/>
  <c r="T31" i="1"/>
  <c r="R31" i="1"/>
  <c r="S31" i="1" s="1"/>
  <c r="O31" i="1"/>
  <c r="T30" i="1"/>
  <c r="R30" i="1"/>
  <c r="S30" i="1" s="1"/>
  <c r="O30" i="1"/>
  <c r="T29" i="1"/>
  <c r="R29" i="1"/>
  <c r="S29" i="1" s="1"/>
  <c r="O29" i="1"/>
  <c r="T28" i="1"/>
  <c r="R28" i="1"/>
  <c r="S28" i="1" s="1"/>
  <c r="O28" i="1"/>
  <c r="T27" i="1"/>
  <c r="R27" i="1"/>
  <c r="S27" i="1" s="1"/>
  <c r="O27" i="1"/>
  <c r="T26" i="1"/>
  <c r="R26" i="1"/>
  <c r="S26" i="1" s="1"/>
  <c r="O26" i="1"/>
  <c r="T25" i="1"/>
  <c r="R25" i="1"/>
  <c r="S25" i="1" s="1"/>
  <c r="O25" i="1"/>
  <c r="T24" i="1"/>
  <c r="R24" i="1"/>
  <c r="S24" i="1" s="1"/>
  <c r="O24" i="1"/>
  <c r="T23" i="1"/>
  <c r="R23" i="1"/>
  <c r="S23" i="1" s="1"/>
  <c r="O23" i="1"/>
  <c r="T22" i="1"/>
  <c r="R22" i="1"/>
  <c r="S22" i="1" s="1"/>
  <c r="O22" i="1"/>
  <c r="T21" i="1"/>
  <c r="R21" i="1"/>
  <c r="S21" i="1" s="1"/>
  <c r="O21" i="1"/>
  <c r="T20" i="1"/>
  <c r="R20" i="1"/>
  <c r="S20" i="1" s="1"/>
  <c r="O20" i="1"/>
  <c r="T19" i="1"/>
  <c r="R19" i="1"/>
  <c r="S19" i="1" s="1"/>
  <c r="O19" i="1"/>
  <c r="T18" i="1"/>
  <c r="S18" i="1"/>
  <c r="R18" i="1"/>
  <c r="O18" i="1"/>
  <c r="T17" i="1"/>
  <c r="R17" i="1"/>
  <c r="S17" i="1" s="1"/>
  <c r="O17" i="1"/>
  <c r="T16" i="1"/>
  <c r="R16" i="1"/>
  <c r="S16" i="1" s="1"/>
  <c r="O16" i="1"/>
  <c r="T15" i="1"/>
  <c r="R15" i="1"/>
  <c r="S15" i="1" s="1"/>
  <c r="O15" i="1"/>
  <c r="T14" i="1"/>
  <c r="R14" i="1"/>
  <c r="S14" i="1" s="1"/>
  <c r="O14" i="1"/>
  <c r="T13" i="1"/>
  <c r="R13" i="1"/>
  <c r="S13" i="1" s="1"/>
  <c r="O13" i="1"/>
  <c r="T12" i="1"/>
  <c r="R12" i="1"/>
  <c r="S12" i="1" s="1"/>
  <c r="O12" i="1"/>
  <c r="T11" i="1"/>
  <c r="R11" i="1"/>
  <c r="S11" i="1" s="1"/>
  <c r="O11" i="1"/>
  <c r="T10" i="1"/>
  <c r="R10" i="1"/>
  <c r="S10" i="1" s="1"/>
  <c r="O10" i="1"/>
  <c r="T9" i="1"/>
  <c r="R9" i="1"/>
  <c r="S9" i="1" s="1"/>
  <c r="O9" i="1"/>
  <c r="T8" i="1"/>
  <c r="R8" i="1"/>
  <c r="S8" i="1" s="1"/>
  <c r="O8" i="1"/>
  <c r="T7" i="1"/>
  <c r="R7" i="1"/>
  <c r="S7" i="1" s="1"/>
  <c r="O7" i="1"/>
  <c r="T6" i="1"/>
  <c r="R6" i="1"/>
  <c r="S6" i="1" s="1"/>
  <c r="O6" i="1"/>
  <c r="T5" i="1"/>
  <c r="R5" i="1"/>
  <c r="S5" i="1" s="1"/>
  <c r="O5" i="1"/>
  <c r="T4" i="1"/>
  <c r="R4" i="1"/>
  <c r="S4" i="1" s="1"/>
  <c r="O4" i="1"/>
  <c r="T3" i="1"/>
  <c r="R3" i="1"/>
  <c r="S3" i="1" s="1"/>
  <c r="O3" i="1"/>
  <c r="T2" i="1"/>
  <c r="R2" i="1"/>
  <c r="S2" i="1" s="1"/>
  <c r="O2" i="1"/>
  <c r="AO15" i="2"/>
  <c r="AN15" i="2"/>
  <c r="G16" i="2"/>
  <c r="S8" i="2"/>
  <c r="AF16" i="2"/>
  <c r="J19" i="2"/>
  <c r="P8" i="2"/>
  <c r="J4" i="2"/>
  <c r="M4" i="2"/>
  <c r="AP15" i="2" l="1"/>
  <c r="AR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1D97CD-94F8-468F-BC6A-371CB140FA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8E274B-9188-45DE-9A1A-FDF3D90DD014}" name="WorksheetConnection_data table!$A:$S" type="102" refreshedVersion="8" minRefreshableVersion="5">
    <extLst>
      <ext xmlns:x15="http://schemas.microsoft.com/office/spreadsheetml/2010/11/main" uri="{DE250136-89BD-433C-8126-D09CA5730AF9}">
        <x15:connection id="Range" autoDelete="1">
          <x15:rangePr sourceName="_xlcn.WorksheetConnection_datatableAS1"/>
        </x15:connection>
      </ext>
    </extLst>
  </connection>
  <connection id="3" xr16:uid="{D3837590-A5E7-4499-9F00-626B3514AC9A}" name="WorksheetConnection_ادارة العملاء (version 1).xlsx!Table1" type="102" refreshedVersion="8" minRefreshableVersion="5">
    <extLst>
      <ext xmlns:x15="http://schemas.microsoft.com/office/spreadsheetml/2010/11/main" uri="{DE250136-89BD-433C-8126-D09CA5730AF9}">
        <x15:connection id="Table1">
          <x15:rangePr sourceName="_xlcn.WorksheetConnection_ادارةالعملاءversion1.xlsxTable11"/>
        </x15:connection>
      </ext>
    </extLst>
  </connection>
  <connection id="4" xr16:uid="{40861001-D051-4FAD-B9AD-B2A4152031F3}" name="WorksheetConnection_ادارة العملاء (version 1).xlsx!Table2" type="102" refreshedVersion="8" minRefreshableVersion="5">
    <extLst>
      <ext xmlns:x15="http://schemas.microsoft.com/office/spreadsheetml/2010/11/main" uri="{DE250136-89BD-433C-8126-D09CA5730AF9}">
        <x15:connection id="Table2">
          <x15:rangePr sourceName="_xlcn.WorksheetConnection_ادارةالعملاءversion1.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2].[التاريخ (Day)].[All]}"/>
  </metadataStrings>
  <mdxMetadata count="1">
    <mdx n="0" f="s">
      <ms ns="1" c="0"/>
    </mdx>
  </mdxMetadata>
  <valueMetadata count="1">
    <bk>
      <rc t="1" v="0"/>
    </bk>
  </valueMetadata>
</metadata>
</file>

<file path=xl/sharedStrings.xml><?xml version="1.0" encoding="utf-8"?>
<sst xmlns="http://schemas.openxmlformats.org/spreadsheetml/2006/main" count="416" uniqueCount="134">
  <si>
    <t>تسلسل</t>
  </si>
  <si>
    <t>الاسم</t>
  </si>
  <si>
    <t>الهوية</t>
  </si>
  <si>
    <t>رقم الطلب</t>
  </si>
  <si>
    <t>الجوال</t>
  </si>
  <si>
    <t>مصدر العميل</t>
  </si>
  <si>
    <t>طريقة التواصل</t>
  </si>
  <si>
    <t>المنتج المناسب</t>
  </si>
  <si>
    <t>استجابة العميل</t>
  </si>
  <si>
    <t>حالة العميل</t>
  </si>
  <si>
    <t>حالة الطلب</t>
  </si>
  <si>
    <t>مبلغ التمويل</t>
  </si>
  <si>
    <t>مدة المكالمة</t>
  </si>
  <si>
    <t>التاريخ</t>
  </si>
  <si>
    <t>اليوم</t>
  </si>
  <si>
    <t>سبب الرفض</t>
  </si>
  <si>
    <t>ملاحظات</t>
  </si>
  <si>
    <t>تم_التسليم.</t>
  </si>
  <si>
    <t>المتبقي</t>
  </si>
  <si>
    <t>علي الصحاف</t>
  </si>
  <si>
    <t>قاعدة البيانات</t>
  </si>
  <si>
    <t>طلبات الكاسل</t>
  </si>
  <si>
    <t>تمويل شخصي</t>
  </si>
  <si>
    <t>استجاب</t>
  </si>
  <si>
    <t>مهتم</t>
  </si>
  <si>
    <t>التحقق</t>
  </si>
  <si>
    <t>أحمد بن فهد العبدالعزيز</t>
  </si>
  <si>
    <t>اتصال وارد</t>
  </si>
  <si>
    <t>حضوري</t>
  </si>
  <si>
    <t>ايجارة</t>
  </si>
  <si>
    <t>سيتم رفع الطلب</t>
  </si>
  <si>
    <t>مروان بن عبدالعزيز بن عبدالله الفداء</t>
  </si>
  <si>
    <t>شراء مديونية</t>
  </si>
  <si>
    <t>غبر مهم</t>
  </si>
  <si>
    <t>لم يرد</t>
  </si>
  <si>
    <t>مرفوض</t>
  </si>
  <si>
    <t>فارس عبدالله ابراهيم المنصور</t>
  </si>
  <si>
    <t>تمويل إضافي</t>
  </si>
  <si>
    <t>لم يستجب</t>
  </si>
  <si>
    <t>عبدالعزيز عبدالله علي الغامدي</t>
  </si>
  <si>
    <t>إحالة من عميل</t>
  </si>
  <si>
    <t>اثير عبدالعزيز سعد السيف</t>
  </si>
  <si>
    <t>بحث شخصي</t>
  </si>
  <si>
    <t>بانتظار المستندات</t>
  </si>
  <si>
    <t>محمد بن علي بن محمد التويجري</t>
  </si>
  <si>
    <t>CRM</t>
  </si>
  <si>
    <t>المتابعة لاحقاً</t>
  </si>
  <si>
    <t>علي بن محمد بن علي السلامه</t>
  </si>
  <si>
    <t>تم التوقيع</t>
  </si>
  <si>
    <t>عبدالله بن سعود عبدالعزيز الهزاع</t>
  </si>
  <si>
    <t>قبول عرض</t>
  </si>
  <si>
    <t>شاهين بن عامر بن علي المطيري</t>
  </si>
  <si>
    <t>عبدالعزيز رجب عبدالعزيز جبارة</t>
  </si>
  <si>
    <t>تم التسليم</t>
  </si>
  <si>
    <t>نورة بنت عبدالله العتيبي</t>
  </si>
  <si>
    <t>غير مهتم</t>
  </si>
  <si>
    <t>فاطمة بنت عبدالله المنصور</t>
  </si>
  <si>
    <t>الرقم غير صحيح</t>
  </si>
  <si>
    <t>ياسر الهزاع</t>
  </si>
  <si>
    <t>رائد بن ماجد بن حمدان الشهري</t>
  </si>
  <si>
    <t>مروان بن محمد بن منصور الشمراني</t>
  </si>
  <si>
    <t>سعد فهد البقمي</t>
  </si>
  <si>
    <t>علي بن جابر بن فهد الحربي</t>
  </si>
  <si>
    <t>سلمى سالم السلامه</t>
  </si>
  <si>
    <t>الائتمان</t>
  </si>
  <si>
    <t>أميرة علي المنصور</t>
  </si>
  <si>
    <t>مروه حمود الفداء</t>
  </si>
  <si>
    <t>عمر الشريف</t>
  </si>
  <si>
    <t>ماهر بن عبدالعزيز بن حسن الفداء</t>
  </si>
  <si>
    <t>حمد الدوسري</t>
  </si>
  <si>
    <t>سلمى القحطاني</t>
  </si>
  <si>
    <t>سارة الحارثي</t>
  </si>
  <si>
    <t>ضحى الشمراني</t>
  </si>
  <si>
    <t>ماجد البقمي</t>
  </si>
  <si>
    <t>سليمان المطيري</t>
  </si>
  <si>
    <t>سليمان حمود الهزاع</t>
  </si>
  <si>
    <t>عمر بن سلمان بن سلمان الحارثي</t>
  </si>
  <si>
    <t>بسمة الغامدي</t>
  </si>
  <si>
    <t>نجلاء جابر الحارثي</t>
  </si>
  <si>
    <t>محمد بن علي العبدالله</t>
  </si>
  <si>
    <t>محمد بن عبدالله العبدالله</t>
  </si>
  <si>
    <t>محمد بن سعود العبدالله</t>
  </si>
  <si>
    <t>أحمد بن خالد العبدالعزيز</t>
  </si>
  <si>
    <t>نورة بنت سعود العتيبي</t>
  </si>
  <si>
    <t>Row Labels</t>
  </si>
  <si>
    <t>(blank)</t>
  </si>
  <si>
    <t>Grand Total</t>
  </si>
  <si>
    <t>Count of الجوال</t>
  </si>
  <si>
    <t>Average of مدة المكالمة</t>
  </si>
  <si>
    <t>Count of استجابة العميل</t>
  </si>
  <si>
    <t>Count of تسلسل</t>
  </si>
  <si>
    <t>2025</t>
  </si>
  <si>
    <t>عدد الاستجابة</t>
  </si>
  <si>
    <t>Values</t>
  </si>
  <si>
    <t>Average of المتبقي</t>
  </si>
  <si>
    <t>Average of تم_التسليم.</t>
  </si>
  <si>
    <t>Average of تسلسل</t>
  </si>
  <si>
    <t>Sum of عدد الاستجابة</t>
  </si>
  <si>
    <t xml:space="preserve">التاريخ </t>
  </si>
  <si>
    <t xml:space="preserve">عدد الطلبات المستهدفة </t>
  </si>
  <si>
    <t>Sum of عدد الطلبات المستهدفة</t>
  </si>
  <si>
    <t>التاريخ (Day)</t>
  </si>
  <si>
    <t>Count of رقم الطلب</t>
  </si>
  <si>
    <t>&lt;01/09/2025</t>
  </si>
  <si>
    <t>المستهدف</t>
  </si>
  <si>
    <t>المتحقق</t>
  </si>
  <si>
    <t>All</t>
  </si>
  <si>
    <t>01-سبتمبر</t>
  </si>
  <si>
    <t>02-سبتمبر</t>
  </si>
  <si>
    <t>03-سبتمبر</t>
  </si>
  <si>
    <t>04-سبتمبر</t>
  </si>
  <si>
    <t>05-سبتمبر</t>
  </si>
  <si>
    <t>06-سبتمبر</t>
  </si>
  <si>
    <t>07-سبتمبر</t>
  </si>
  <si>
    <t>08-سبتمبر</t>
  </si>
  <si>
    <t>09-سبتمبر</t>
  </si>
  <si>
    <t>10-سبتمبر</t>
  </si>
  <si>
    <t>11-سبتمبر</t>
  </si>
  <si>
    <t>12-سبتمبر</t>
  </si>
  <si>
    <t>13-سبتمبر</t>
  </si>
  <si>
    <t>14-سبتمبر</t>
  </si>
  <si>
    <t>15-سبتمبر</t>
  </si>
  <si>
    <t>16-سبتمبر</t>
  </si>
  <si>
    <t>17-سبتمبر</t>
  </si>
  <si>
    <t>18-سبتمبر</t>
  </si>
  <si>
    <t>19-سبتمبر</t>
  </si>
  <si>
    <t>20-سبتمبر</t>
  </si>
  <si>
    <t>21-سبتمبر</t>
  </si>
  <si>
    <t>22-سبتمبر</t>
  </si>
  <si>
    <t>23-سبتمبر</t>
  </si>
  <si>
    <t>24-سبتمبر</t>
  </si>
  <si>
    <t>Count of الاسم</t>
  </si>
  <si>
    <t>مروه ابو العنين</t>
  </si>
  <si>
    <t>25-سبتمبر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</si>
</sst>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ر.س.‏-401]"/>
    <numFmt numFmtId="165" formatCode="yyyy\-mm\-dd;@"/>
    <numFmt numFmtId="166" formatCode="#,##0.00\ [$ر.س.‏-401]"/>
    <numFmt numFmtId="167" formatCode="0000000000"/>
  </numFmts>
  <fonts count="6" x14ac:knownFonts="1">
    <font>
      <sz val="11"/>
      <color theme="1"/>
      <name val="Calibri"/>
      <family val="2"/>
      <scheme val="minor"/>
    </font>
    <font>
      <b/>
      <sz val="11"/>
      <color theme="1"/>
      <name val="Calibri"/>
      <family val="2"/>
      <charset val="178"/>
      <scheme val="minor"/>
    </font>
    <font>
      <sz val="14"/>
      <color theme="1"/>
      <name val="Calibri"/>
      <family val="2"/>
      <scheme val="minor"/>
    </font>
    <font>
      <sz val="8"/>
      <name val="Calibri"/>
      <family val="2"/>
      <scheme val="minor"/>
    </font>
    <font>
      <sz val="12"/>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CA311"/>
        <bgColor indexed="64"/>
      </patternFill>
    </fill>
    <fill>
      <patternFill patternType="solid">
        <fgColor rgb="FFFFC000"/>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right"/>
    </xf>
    <xf numFmtId="46" fontId="0" fillId="0" borderId="0" xfId="0" applyNumberFormat="1"/>
    <xf numFmtId="9" fontId="0" fillId="0" borderId="0" xfId="0" applyNumberFormat="1"/>
    <xf numFmtId="10" fontId="0" fillId="0" borderId="0" xfId="0" applyNumberFormat="1"/>
    <xf numFmtId="0" fontId="1" fillId="2" borderId="1" xfId="0" applyFont="1" applyFill="1" applyBorder="1"/>
    <xf numFmtId="0" fontId="1" fillId="2" borderId="2" xfId="0" applyFont="1" applyFill="1" applyBorder="1"/>
    <xf numFmtId="0" fontId="2" fillId="3" borderId="0" xfId="0" applyFont="1" applyFill="1" applyAlignment="1">
      <alignment horizontal="center" vertical="center"/>
    </xf>
    <xf numFmtId="14" fontId="0" fillId="0" borderId="0" xfId="0" applyNumberFormat="1" applyAlignment="1">
      <alignment horizontal="right"/>
    </xf>
    <xf numFmtId="0" fontId="0" fillId="0" borderId="0" xfId="0" applyAlignment="1">
      <alignment horizontal="right" indent="1"/>
    </xf>
    <xf numFmtId="0" fontId="2" fillId="3" borderId="0" xfId="0" applyFont="1" applyFill="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4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xf>
    <xf numFmtId="0" fontId="4" fillId="3" borderId="0" xfId="0" applyFont="1" applyFill="1" applyAlignment="1">
      <alignment horizontal="center" vertical="center"/>
    </xf>
    <xf numFmtId="0" fontId="0" fillId="4" borderId="3" xfId="0" applyFill="1" applyBorder="1" applyAlignment="1">
      <alignment horizontal="center" vertical="center"/>
    </xf>
    <xf numFmtId="166" fontId="0" fillId="0" borderId="3" xfId="0" applyNumberFormat="1" applyBorder="1"/>
    <xf numFmtId="164" fontId="0" fillId="0" borderId="3" xfId="0" applyNumberFormat="1" applyBorder="1"/>
    <xf numFmtId="164" fontId="5" fillId="0" borderId="0" xfId="0" applyNumberFormat="1" applyFont="1" applyAlignment="1">
      <alignment horizontal="left"/>
    </xf>
    <xf numFmtId="167" fontId="0" fillId="0" borderId="0" xfId="0" applyNumberFormat="1" applyAlignment="1">
      <alignment horizontal="center" vertical="center"/>
    </xf>
    <xf numFmtId="0" fontId="0" fillId="0" borderId="0" xfId="0" applyNumberFormat="1"/>
  </cellXfs>
  <cellStyles count="1">
    <cellStyle name="Normal" xfId="0" builtinId="0"/>
  </cellStyles>
  <dxfs count="45">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65" formatCode="yyyy\-mm\-dd;@"/>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65"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31" formatCode="[h]:mm:ss"/>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numFmt numFmtId="164" formatCode="#,##0\ [$ر.س.‏-401]"/>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strike val="0"/>
        <outline val="0"/>
        <shadow val="0"/>
        <u val="none"/>
        <vertAlign val="baseline"/>
        <sz val="11"/>
        <color theme="1"/>
        <name val="Calibri"/>
        <family val="2"/>
        <scheme val="minor"/>
      </font>
      <numFmt numFmtId="167" formatCode="0000000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color theme="1"/>
        <name val="Calibri"/>
        <family val="2"/>
        <scheme val="minor"/>
      </font>
      <alignment horizontal="general" vertical="bottom" textRotation="0" wrapText="0" indent="0" justifyLastLine="0" shrinkToFit="0" readingOrder="0"/>
    </dxf>
    <dxf>
      <font>
        <strike val="0"/>
        <outline val="0"/>
        <shadow val="0"/>
        <u val="none"/>
        <vertAlign val="baseline"/>
        <sz val="14"/>
        <color theme="1"/>
        <name val="Calibri"/>
        <family val="2"/>
        <scheme val="minor"/>
      </font>
      <fill>
        <patternFill patternType="solid">
          <fgColor indexed="64"/>
          <bgColor rgb="FFFCA311"/>
        </patternFill>
      </fill>
      <alignment horizontal="center" vertical="center" textRotation="0" wrapText="0" indent="0" justifyLastLine="0" shrinkToFit="0" readingOrder="0"/>
    </dxf>
  </dxfs>
  <tableStyles count="0" defaultTableStyle="TableStyleMedium2" defaultPivotStyle="PivotStyleLight16"/>
  <colors>
    <mruColors>
      <color rgb="FF14213D"/>
      <color rgb="FFE5E5E5"/>
      <color rgb="FFFCA3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rgbClr val="14213D"/>
                </a:solidFill>
              </a:rPr>
              <a:t>عدد العملاء حسب حالة الطلب</a:t>
            </a:r>
            <a:endParaRPr lang="en-US" sz="1600" b="1">
              <a:solidFill>
                <a:srgbClr val="14213D"/>
              </a:solidFill>
            </a:endParaRPr>
          </a:p>
        </c:rich>
      </c:tx>
      <c:layout>
        <c:manualLayout>
          <c:xMode val="edge"/>
          <c:yMode val="edge"/>
          <c:x val="0.13053276353276352"/>
          <c:y val="3.6725177600143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213D"/>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44729344729347"/>
          <c:y val="0.11247987097817855"/>
          <c:w val="0.54896378723343586"/>
          <c:h val="0.84394509785141492"/>
        </c:manualLayout>
      </c:layout>
      <c:barChart>
        <c:barDir val="bar"/>
        <c:grouping val="clustered"/>
        <c:varyColors val="0"/>
        <c:ser>
          <c:idx val="0"/>
          <c:order val="0"/>
          <c:tx>
            <c:strRef>
              <c:f>Sheet2!$O$3</c:f>
              <c:strCache>
                <c:ptCount val="1"/>
                <c:pt idx="0">
                  <c:v>Total</c:v>
                </c:pt>
              </c:strCache>
            </c:strRef>
          </c:tx>
          <c:spPr>
            <a:solidFill>
              <a:srgbClr val="14213D"/>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Sheet2!$N$4:$N$13</c:f>
              <c:strCache>
                <c:ptCount val="9"/>
                <c:pt idx="0">
                  <c:v>الائتمان</c:v>
                </c:pt>
                <c:pt idx="1">
                  <c:v>التحقق</c:v>
                </c:pt>
                <c:pt idx="2">
                  <c:v>بانتظار المستندات</c:v>
                </c:pt>
                <c:pt idx="3">
                  <c:v>تم التسليم</c:v>
                </c:pt>
                <c:pt idx="4">
                  <c:v>تم التوقيع</c:v>
                </c:pt>
                <c:pt idx="5">
                  <c:v>سيتم رفع الطلب</c:v>
                </c:pt>
                <c:pt idx="6">
                  <c:v>قبول عرض</c:v>
                </c:pt>
                <c:pt idx="7">
                  <c:v>مرفوض</c:v>
                </c:pt>
                <c:pt idx="8">
                  <c:v>(blank)</c:v>
                </c:pt>
              </c:strCache>
            </c:strRef>
          </c:cat>
          <c:val>
            <c:numRef>
              <c:f>Sheet2!$O$4:$O$13</c:f>
              <c:numCache>
                <c:formatCode>General</c:formatCode>
                <c:ptCount val="9"/>
                <c:pt idx="0">
                  <c:v>1</c:v>
                </c:pt>
                <c:pt idx="1">
                  <c:v>1</c:v>
                </c:pt>
                <c:pt idx="2">
                  <c:v>2</c:v>
                </c:pt>
                <c:pt idx="3">
                  <c:v>16</c:v>
                </c:pt>
                <c:pt idx="4">
                  <c:v>2</c:v>
                </c:pt>
                <c:pt idx="5">
                  <c:v>4</c:v>
                </c:pt>
                <c:pt idx="6">
                  <c:v>3</c:v>
                </c:pt>
                <c:pt idx="7">
                  <c:v>11</c:v>
                </c:pt>
              </c:numCache>
            </c:numRef>
          </c:val>
          <c:extLst>
            <c:ext xmlns:c16="http://schemas.microsoft.com/office/drawing/2014/chart" uri="{C3380CC4-5D6E-409C-BE32-E72D297353CC}">
              <c16:uniqueId val="{00000000-E43F-458A-8782-221682735178}"/>
            </c:ext>
          </c:extLst>
        </c:ser>
        <c:dLbls>
          <c:dLblPos val="outEnd"/>
          <c:showLegendKey val="0"/>
          <c:showVal val="1"/>
          <c:showCatName val="0"/>
          <c:showSerName val="0"/>
          <c:showPercent val="0"/>
          <c:showBubbleSize val="0"/>
        </c:dLbls>
        <c:gapWidth val="90"/>
        <c:axId val="222133631"/>
        <c:axId val="222133215"/>
      </c:barChart>
      <c:catAx>
        <c:axId val="2221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14213D"/>
                </a:solidFill>
                <a:latin typeface="+mn-lt"/>
                <a:ea typeface="+mn-ea"/>
                <a:cs typeface="+mn-cs"/>
              </a:defRPr>
            </a:pPr>
            <a:endParaRPr lang="en-US"/>
          </a:p>
        </c:txPr>
        <c:crossAx val="222133215"/>
        <c:crosses val="autoZero"/>
        <c:auto val="1"/>
        <c:lblAlgn val="ctr"/>
        <c:lblOffset val="100"/>
        <c:noMultiLvlLbl val="0"/>
      </c:catAx>
      <c:valAx>
        <c:axId val="222133215"/>
        <c:scaling>
          <c:orientation val="minMax"/>
        </c:scaling>
        <c:delete val="1"/>
        <c:axPos val="b"/>
        <c:numFmt formatCode="General" sourceLinked="1"/>
        <c:majorTickMark val="none"/>
        <c:minorTickMark val="none"/>
        <c:tickLblPos val="nextTo"/>
        <c:crossAx val="2221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i="0" u="none" strike="noStrike" kern="1200" spc="0" baseline="0">
                <a:solidFill>
                  <a:srgbClr val="14213D"/>
                </a:solidFill>
              </a:rPr>
              <a:t>عدد العملاء حسب المصدر</a:t>
            </a:r>
            <a:endParaRPr lang="en-US" sz="1800" b="1" i="0" u="none" strike="noStrike" kern="1200" spc="0" baseline="0">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CA31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65019641367358E-2"/>
          <c:y val="0.17400121657222478"/>
          <c:w val="0.93152236037571035"/>
          <c:h val="0.656908593286051"/>
        </c:manualLayout>
      </c:layout>
      <c:barChart>
        <c:barDir val="col"/>
        <c:grouping val="clustered"/>
        <c:varyColors val="0"/>
        <c:ser>
          <c:idx val="0"/>
          <c:order val="0"/>
          <c:tx>
            <c:strRef>
              <c:f>Sheet2!$U$3</c:f>
              <c:strCache>
                <c:ptCount val="1"/>
                <c:pt idx="0">
                  <c:v>Total</c:v>
                </c:pt>
              </c:strCache>
            </c:strRef>
          </c:tx>
          <c:spPr>
            <a:solidFill>
              <a:srgbClr val="FCA311"/>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Sheet2!$T$4:$T$12</c:f>
              <c:strCache>
                <c:ptCount val="8"/>
                <c:pt idx="0">
                  <c:v>CRM</c:v>
                </c:pt>
                <c:pt idx="1">
                  <c:v>اتصال وارد</c:v>
                </c:pt>
                <c:pt idx="2">
                  <c:v>إحالة من عميل</c:v>
                </c:pt>
                <c:pt idx="3">
                  <c:v>بحث شخصي</c:v>
                </c:pt>
                <c:pt idx="4">
                  <c:v>حضوري</c:v>
                </c:pt>
                <c:pt idx="5">
                  <c:v>طلبات الكاسل</c:v>
                </c:pt>
                <c:pt idx="6">
                  <c:v>قاعدة البيانات</c:v>
                </c:pt>
                <c:pt idx="7">
                  <c:v>(blank)</c:v>
                </c:pt>
              </c:strCache>
            </c:strRef>
          </c:cat>
          <c:val>
            <c:numRef>
              <c:f>Sheet2!$U$4:$U$12</c:f>
              <c:numCache>
                <c:formatCode>General</c:formatCode>
                <c:ptCount val="8"/>
                <c:pt idx="0">
                  <c:v>6</c:v>
                </c:pt>
                <c:pt idx="1">
                  <c:v>3</c:v>
                </c:pt>
                <c:pt idx="2">
                  <c:v>11</c:v>
                </c:pt>
                <c:pt idx="3">
                  <c:v>4</c:v>
                </c:pt>
                <c:pt idx="4">
                  <c:v>7</c:v>
                </c:pt>
                <c:pt idx="5">
                  <c:v>6</c:v>
                </c:pt>
                <c:pt idx="6">
                  <c:v>3</c:v>
                </c:pt>
              </c:numCache>
            </c:numRef>
          </c:val>
          <c:extLst>
            <c:ext xmlns:c16="http://schemas.microsoft.com/office/drawing/2014/chart" uri="{C3380CC4-5D6E-409C-BE32-E72D297353CC}">
              <c16:uniqueId val="{00000001-5871-4F8F-AF18-90B6F366B1F7}"/>
            </c:ext>
          </c:extLst>
        </c:ser>
        <c:dLbls>
          <c:dLblPos val="outEnd"/>
          <c:showLegendKey val="0"/>
          <c:showVal val="1"/>
          <c:showCatName val="0"/>
          <c:showSerName val="0"/>
          <c:showPercent val="0"/>
          <c:showBubbleSize val="0"/>
        </c:dLbls>
        <c:gapWidth val="90"/>
        <c:overlap val="-27"/>
        <c:axId val="1207052032"/>
        <c:axId val="1207050368"/>
      </c:barChart>
      <c:catAx>
        <c:axId val="120705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crossAx val="1207050368"/>
        <c:crosses val="autoZero"/>
        <c:auto val="1"/>
        <c:lblAlgn val="ctr"/>
        <c:lblOffset val="100"/>
        <c:noMultiLvlLbl val="0"/>
      </c:catAx>
      <c:valAx>
        <c:axId val="1207050368"/>
        <c:scaling>
          <c:orientation val="minMax"/>
        </c:scaling>
        <c:delete val="1"/>
        <c:axPos val="l"/>
        <c:numFmt formatCode="General" sourceLinked="1"/>
        <c:majorTickMark val="none"/>
        <c:minorTickMark val="none"/>
        <c:tickLblPos val="nextTo"/>
        <c:crossAx val="1207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6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2).xlsx]Sheet2!PivotTable16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800" b="1">
                <a:solidFill>
                  <a:srgbClr val="14213D"/>
                </a:solidFill>
              </a:rPr>
              <a:t>عدد العملاء حسب المنتج</a:t>
            </a:r>
            <a:endParaRPr lang="en-US" sz="1800" b="1">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7154992695759145"/>
          <c:y val="0.17681771186087278"/>
          <c:w val="0.4507024153422009"/>
          <c:h val="0.73756221051708237"/>
        </c:manualLayout>
      </c:layout>
      <c:pieChart>
        <c:varyColors val="1"/>
        <c:ser>
          <c:idx val="0"/>
          <c:order val="0"/>
          <c:tx>
            <c:strRef>
              <c:f>Sheet2!$X$3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7B-419F-AC37-0561C4AF6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7B-419F-AC37-0561C4AF6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7B-419F-AC37-0561C4AF6184}"/>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D-929B-4464-946A-DEEC0B08D9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7B-419F-AC37-0561C4AF618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Sheet2!$W$4:$W$9</c:f>
              <c:strCache>
                <c:ptCount val="5"/>
                <c:pt idx="0">
                  <c:v>ايجارة</c:v>
                </c:pt>
                <c:pt idx="1">
                  <c:v>تمويل إضافي</c:v>
                </c:pt>
                <c:pt idx="2">
                  <c:v>تمويل شخصي</c:v>
                </c:pt>
                <c:pt idx="3">
                  <c:v>شراء مديونية</c:v>
                </c:pt>
                <c:pt idx="4">
                  <c:v>(blank)</c:v>
                </c:pt>
              </c:strCache>
            </c:strRef>
          </c:cat>
          <c:val>
            <c:numRef>
              <c:f>Sheet2!$X$4:$X$9</c:f>
              <c:numCache>
                <c:formatCode>General</c:formatCode>
                <c:ptCount val="5"/>
                <c:pt idx="0">
                  <c:v>12</c:v>
                </c:pt>
                <c:pt idx="1">
                  <c:v>13</c:v>
                </c:pt>
                <c:pt idx="2">
                  <c:v>5</c:v>
                </c:pt>
                <c:pt idx="3">
                  <c:v>10</c:v>
                </c:pt>
              </c:numCache>
            </c:numRef>
          </c:val>
          <c:extLst>
            <c:ext xmlns:c16="http://schemas.microsoft.com/office/drawing/2014/chart" uri="{C3380CC4-5D6E-409C-BE32-E72D297353CC}">
              <c16:uniqueId val="{0000000B-929B-4464-946A-DEEC0B08D9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rgbClr val="14213D"/>
                </a:solidFill>
              </a:rPr>
              <a:t>الهدف الشهري لمبلغ التمويل</a:t>
            </a:r>
            <a:endParaRPr lang="en-US" sz="1800" b="1">
              <a:solidFill>
                <a:srgbClr val="14213D"/>
              </a:solidFill>
            </a:endParaRPr>
          </a:p>
        </c:rich>
      </c:tx>
      <c:layout>
        <c:manualLayout>
          <c:xMode val="edge"/>
          <c:yMode val="edge"/>
          <c:x val="0.22149615831212791"/>
          <c:y val="2.7702453006852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142532651902327"/>
          <c:y val="0.18957486448242916"/>
          <c:w val="0.511749834207468"/>
          <c:h val="0.8091181161765183"/>
        </c:manualLayout>
      </c:layout>
      <c:doughnutChart>
        <c:varyColors val="1"/>
        <c:ser>
          <c:idx val="0"/>
          <c:order val="0"/>
          <c:spPr>
            <a:ln>
              <a:solidFill>
                <a:schemeClr val="bg1"/>
              </a:solidFill>
            </a:ln>
          </c:spPr>
          <c:dPt>
            <c:idx val="0"/>
            <c:bubble3D val="0"/>
            <c:spPr>
              <a:noFill/>
              <a:ln w="19050">
                <a:solidFill>
                  <a:schemeClr val="bg1"/>
                </a:solidFill>
              </a:ln>
              <a:effectLst/>
            </c:spPr>
            <c:extLst>
              <c:ext xmlns:c16="http://schemas.microsoft.com/office/drawing/2014/chart" uri="{C3380CC4-5D6E-409C-BE32-E72D297353CC}">
                <c16:uniqueId val="{00000001-3CE4-4E1D-80CB-73AF670DC328}"/>
              </c:ext>
            </c:extLst>
          </c:dPt>
          <c:dPt>
            <c:idx val="1"/>
            <c:bubble3D val="0"/>
            <c:spPr>
              <a:solidFill>
                <a:schemeClr val="accent2"/>
              </a:solidFill>
              <a:ln w="19050">
                <a:solidFill>
                  <a:srgbClr val="FCA311"/>
                </a:solidFill>
              </a:ln>
              <a:effectLst/>
            </c:spPr>
            <c:extLst>
              <c:ext xmlns:c16="http://schemas.microsoft.com/office/drawing/2014/chart" uri="{C3380CC4-5D6E-409C-BE32-E72D297353CC}">
                <c16:uniqueId val="{00000003-3CE4-4E1D-80CB-73AF670DC328}"/>
              </c:ext>
            </c:extLst>
          </c:dPt>
          <c:dPt>
            <c:idx val="2"/>
            <c:bubble3D val="0"/>
            <c:spPr>
              <a:solidFill>
                <a:schemeClr val="accent3"/>
              </a:solidFill>
              <a:ln w="19050">
                <a:solidFill>
                  <a:schemeClr val="tx2">
                    <a:lumMod val="90000"/>
                  </a:schemeClr>
                </a:solidFill>
              </a:ln>
              <a:effectLst/>
            </c:spPr>
            <c:extLst>
              <c:ext xmlns:c16="http://schemas.microsoft.com/office/drawing/2014/chart" uri="{C3380CC4-5D6E-409C-BE32-E72D297353CC}">
                <c16:uniqueId val="{00000005-3CE4-4E1D-80CB-73AF670DC328}"/>
              </c:ext>
            </c:extLst>
          </c:dPt>
          <c:dLbls>
            <c:dLbl>
              <c:idx val="0"/>
              <c:layout>
                <c:manualLayout>
                  <c:x val="-3.7580446715881127E-3"/>
                  <c:y val="-0.2077888855486858"/>
                </c:manualLayout>
              </c:layout>
              <c:tx>
                <c:rich>
                  <a:bodyPr/>
                  <a:lstStyle/>
                  <a:p>
                    <a:fld id="{26F36C00-5B20-4B98-BDB1-C23AFA3DD58D}"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CE4-4E1D-80CB-73AF670DC328}"/>
                </c:ext>
              </c:extLst>
            </c:dLbl>
            <c:dLbl>
              <c:idx val="1"/>
              <c:layout>
                <c:manualLayout>
                  <c:x val="-0.291806738595495"/>
                  <c:y val="-4.8816195857595036E-2"/>
                </c:manualLayout>
              </c:layout>
              <c:tx>
                <c:rich>
                  <a:bodyPr/>
                  <a:lstStyle/>
                  <a:p>
                    <a:fld id="{9C54350F-889D-44EA-8321-DE05585EDCF6}"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CE4-4E1D-80CB-73AF670DC328}"/>
                </c:ext>
              </c:extLst>
            </c:dLbl>
            <c:dLbl>
              <c:idx val="2"/>
              <c:layout>
                <c:manualLayout>
                  <c:x val="0.18850179822070781"/>
                  <c:y val="-9.6334563251426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E4-4E1D-80CB-73AF670DC328}"/>
                </c:ext>
              </c:extLst>
            </c:dLbl>
            <c:numFmt formatCode="#,##0\ [$ر.س.‏-401]"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Sheet2!$AN$14:$AP$14</c:f>
              <c:strCache>
                <c:ptCount val="3"/>
                <c:pt idx="0">
                  <c:v>المستهدف</c:v>
                </c:pt>
                <c:pt idx="1">
                  <c:v>المتحقق</c:v>
                </c:pt>
                <c:pt idx="2">
                  <c:v>المتبقي</c:v>
                </c:pt>
              </c:strCache>
            </c:strRef>
          </c:cat>
          <c:val>
            <c:numRef>
              <c:f>Sheet2!$AN$15:$AP$15</c:f>
              <c:numCache>
                <c:formatCode>#,##0\ [$ر.س.‏-401]</c:formatCode>
                <c:ptCount val="3"/>
                <c:pt idx="0" formatCode="#,##0.00\ [$ر.س.‏-401]">
                  <c:v>1000000</c:v>
                </c:pt>
                <c:pt idx="1">
                  <c:v>817400</c:v>
                </c:pt>
                <c:pt idx="2" formatCode="#,##0.00\ [$ر.س.‏-401]">
                  <c:v>182600</c:v>
                </c:pt>
              </c:numCache>
            </c:numRef>
          </c:val>
          <c:extLst>
            <c:ext xmlns:c16="http://schemas.microsoft.com/office/drawing/2014/chart" uri="{C3380CC4-5D6E-409C-BE32-E72D297353CC}">
              <c16:uniqueId val="{00000006-3CE4-4E1D-80CB-73AF670DC328}"/>
            </c:ext>
          </c:extLst>
        </c:ser>
        <c:dLbls>
          <c:showLegendKey val="0"/>
          <c:showVal val="1"/>
          <c:showCatName val="0"/>
          <c:showSerName val="0"/>
          <c:showPercent val="0"/>
          <c:showBubbleSize val="0"/>
          <c:showLeaderLines val="1"/>
        </c:dLbls>
        <c:firstSliceAng val="9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alpha val="98000"/>
        </a:scheme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800" b="1">
                <a:solidFill>
                  <a:srgbClr val="14213D"/>
                </a:solidFill>
              </a:rPr>
              <a:t>إجمالي العملاء مقابل عدد الإستجابة خلال الشهر</a:t>
            </a:r>
            <a:endParaRPr lang="en-US" sz="1800" b="1">
              <a:solidFill>
                <a:srgbClr val="14213D"/>
              </a:solidFill>
            </a:endParaRPr>
          </a:p>
        </c:rich>
      </c:tx>
      <c:layout>
        <c:manualLayout>
          <c:xMode val="edge"/>
          <c:yMode val="edge"/>
          <c:x val="0.29555406461681027"/>
          <c:y val="3.3810898909715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45548153405925E-2"/>
          <c:y val="0.14808057875273811"/>
          <c:w val="0.95551745603309546"/>
          <c:h val="0.58774807087890479"/>
        </c:manualLayout>
      </c:layout>
      <c:barChart>
        <c:barDir val="col"/>
        <c:grouping val="clustered"/>
        <c:varyColors val="0"/>
        <c:ser>
          <c:idx val="0"/>
          <c:order val="0"/>
          <c:tx>
            <c:strRef>
              <c:f>Sheet2!$AC$22</c:f>
              <c:strCache>
                <c:ptCount val="1"/>
                <c:pt idx="0">
                  <c:v>Count of تسلسل</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Sheet2!$AB$23:$AB$49</c:f>
              <c:strCache>
                <c:ptCount val="26"/>
                <c:pt idx="0">
                  <c:v>01-سبتمبر</c:v>
                </c:pt>
                <c:pt idx="1">
                  <c:v>02-سبتمبر</c:v>
                </c:pt>
                <c:pt idx="2">
                  <c:v>03-سبتمبر</c:v>
                </c:pt>
                <c:pt idx="3">
                  <c:v>04-سبتمبر</c:v>
                </c:pt>
                <c:pt idx="4">
                  <c:v>05-سبتمبر</c:v>
                </c:pt>
                <c:pt idx="5">
                  <c:v>06-سبتمبر</c:v>
                </c:pt>
                <c:pt idx="6">
                  <c:v>07-سبتمبر</c:v>
                </c:pt>
                <c:pt idx="7">
                  <c:v>08-سبتمبر</c:v>
                </c:pt>
                <c:pt idx="8">
                  <c:v>09-سبتمبر</c:v>
                </c:pt>
                <c:pt idx="9">
                  <c:v>10-سبتمبر</c:v>
                </c:pt>
                <c:pt idx="10">
                  <c:v>11-سبتمبر</c:v>
                </c:pt>
                <c:pt idx="11">
                  <c:v>12-سبتمبر</c:v>
                </c:pt>
                <c:pt idx="12">
                  <c:v>13-سبتمبر</c:v>
                </c:pt>
                <c:pt idx="13">
                  <c:v>14-سبتمبر</c:v>
                </c:pt>
                <c:pt idx="14">
                  <c:v>15-سبتمبر</c:v>
                </c:pt>
                <c:pt idx="15">
                  <c:v>16-سبتمبر</c:v>
                </c:pt>
                <c:pt idx="16">
                  <c:v>17-سبتمبر</c:v>
                </c:pt>
                <c:pt idx="17">
                  <c:v>18-سبتمبر</c:v>
                </c:pt>
                <c:pt idx="18">
                  <c:v>19-سبتمبر</c:v>
                </c:pt>
                <c:pt idx="19">
                  <c:v>20-سبتمبر</c:v>
                </c:pt>
                <c:pt idx="20">
                  <c:v>21-سبتمبر</c:v>
                </c:pt>
                <c:pt idx="21">
                  <c:v>22-سبتمبر</c:v>
                </c:pt>
                <c:pt idx="22">
                  <c:v>23-سبتمبر</c:v>
                </c:pt>
                <c:pt idx="23">
                  <c:v>24-سبتمبر</c:v>
                </c:pt>
                <c:pt idx="24">
                  <c:v>25-سبتمبر</c:v>
                </c:pt>
                <c:pt idx="25">
                  <c:v>&lt;01/09/2025</c:v>
                </c:pt>
              </c:strCache>
            </c:strRef>
          </c:cat>
          <c:val>
            <c:numRef>
              <c:f>Sheet2!$AC$23:$AC$49</c:f>
              <c:numCache>
                <c:formatCode>General</c:formatCode>
                <c:ptCount val="26"/>
                <c:pt idx="0">
                  <c:v>1</c:v>
                </c:pt>
                <c:pt idx="1">
                  <c:v>4</c:v>
                </c:pt>
                <c:pt idx="2">
                  <c:v>2</c:v>
                </c:pt>
                <c:pt idx="3">
                  <c:v>4</c:v>
                </c:pt>
                <c:pt idx="4">
                  <c:v>2</c:v>
                </c:pt>
                <c:pt idx="5">
                  <c:v>1</c:v>
                </c:pt>
                <c:pt idx="6">
                  <c:v>1</c:v>
                </c:pt>
                <c:pt idx="7">
                  <c:v>2</c:v>
                </c:pt>
                <c:pt idx="8">
                  <c:v>1</c:v>
                </c:pt>
                <c:pt idx="9">
                  <c:v>3</c:v>
                </c:pt>
                <c:pt idx="10">
                  <c:v>1</c:v>
                </c:pt>
                <c:pt idx="11">
                  <c:v>1</c:v>
                </c:pt>
                <c:pt idx="12">
                  <c:v>1</c:v>
                </c:pt>
                <c:pt idx="13">
                  <c:v>4</c:v>
                </c:pt>
                <c:pt idx="14">
                  <c:v>2</c:v>
                </c:pt>
                <c:pt idx="15">
                  <c:v>1</c:v>
                </c:pt>
                <c:pt idx="16">
                  <c:v>1</c:v>
                </c:pt>
                <c:pt idx="17">
                  <c:v>1</c:v>
                </c:pt>
                <c:pt idx="18">
                  <c:v>1</c:v>
                </c:pt>
                <c:pt idx="19">
                  <c:v>1</c:v>
                </c:pt>
                <c:pt idx="20">
                  <c:v>1</c:v>
                </c:pt>
                <c:pt idx="21">
                  <c:v>1</c:v>
                </c:pt>
                <c:pt idx="22">
                  <c:v>1</c:v>
                </c:pt>
                <c:pt idx="23">
                  <c:v>1</c:v>
                </c:pt>
                <c:pt idx="24">
                  <c:v>1</c:v>
                </c:pt>
              </c:numCache>
            </c:numRef>
          </c:val>
          <c:extLst>
            <c:ext xmlns:c16="http://schemas.microsoft.com/office/drawing/2014/chart" uri="{C3380CC4-5D6E-409C-BE32-E72D297353CC}">
              <c16:uniqueId val="{00000000-4132-4A1B-B61B-54D896629FEE}"/>
            </c:ext>
          </c:extLst>
        </c:ser>
        <c:ser>
          <c:idx val="1"/>
          <c:order val="1"/>
          <c:tx>
            <c:strRef>
              <c:f>Sheet2!$AD$22</c:f>
              <c:strCache>
                <c:ptCount val="1"/>
                <c:pt idx="0">
                  <c:v>Sum of عدد الاستجابة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Sheet2!$AB$23:$AB$49</c:f>
              <c:strCache>
                <c:ptCount val="26"/>
                <c:pt idx="0">
                  <c:v>01-سبتمبر</c:v>
                </c:pt>
                <c:pt idx="1">
                  <c:v>02-سبتمبر</c:v>
                </c:pt>
                <c:pt idx="2">
                  <c:v>03-سبتمبر</c:v>
                </c:pt>
                <c:pt idx="3">
                  <c:v>04-سبتمبر</c:v>
                </c:pt>
                <c:pt idx="4">
                  <c:v>05-سبتمبر</c:v>
                </c:pt>
                <c:pt idx="5">
                  <c:v>06-سبتمبر</c:v>
                </c:pt>
                <c:pt idx="6">
                  <c:v>07-سبتمبر</c:v>
                </c:pt>
                <c:pt idx="7">
                  <c:v>08-سبتمبر</c:v>
                </c:pt>
                <c:pt idx="8">
                  <c:v>09-سبتمبر</c:v>
                </c:pt>
                <c:pt idx="9">
                  <c:v>10-سبتمبر</c:v>
                </c:pt>
                <c:pt idx="10">
                  <c:v>11-سبتمبر</c:v>
                </c:pt>
                <c:pt idx="11">
                  <c:v>12-سبتمبر</c:v>
                </c:pt>
                <c:pt idx="12">
                  <c:v>13-سبتمبر</c:v>
                </c:pt>
                <c:pt idx="13">
                  <c:v>14-سبتمبر</c:v>
                </c:pt>
                <c:pt idx="14">
                  <c:v>15-سبتمبر</c:v>
                </c:pt>
                <c:pt idx="15">
                  <c:v>16-سبتمبر</c:v>
                </c:pt>
                <c:pt idx="16">
                  <c:v>17-سبتمبر</c:v>
                </c:pt>
                <c:pt idx="17">
                  <c:v>18-سبتمبر</c:v>
                </c:pt>
                <c:pt idx="18">
                  <c:v>19-سبتمبر</c:v>
                </c:pt>
                <c:pt idx="19">
                  <c:v>20-سبتمبر</c:v>
                </c:pt>
                <c:pt idx="20">
                  <c:v>21-سبتمبر</c:v>
                </c:pt>
                <c:pt idx="21">
                  <c:v>22-سبتمبر</c:v>
                </c:pt>
                <c:pt idx="22">
                  <c:v>23-سبتمبر</c:v>
                </c:pt>
                <c:pt idx="23">
                  <c:v>24-سبتمبر</c:v>
                </c:pt>
                <c:pt idx="24">
                  <c:v>25-سبتمبر</c:v>
                </c:pt>
                <c:pt idx="25">
                  <c:v>&lt;01/09/2025</c:v>
                </c:pt>
              </c:strCache>
            </c:strRef>
          </c:cat>
          <c:val>
            <c:numRef>
              <c:f>Sheet2!$AD$23:$AD$49</c:f>
              <c:numCache>
                <c:formatCode>General</c:formatCode>
                <c:ptCount val="26"/>
                <c:pt idx="0">
                  <c:v>1</c:v>
                </c:pt>
                <c:pt idx="1">
                  <c:v>2</c:v>
                </c:pt>
                <c:pt idx="2">
                  <c:v>1</c:v>
                </c:pt>
                <c:pt idx="3">
                  <c:v>4</c:v>
                </c:pt>
                <c:pt idx="4">
                  <c:v>0</c:v>
                </c:pt>
                <c:pt idx="5">
                  <c:v>0</c:v>
                </c:pt>
                <c:pt idx="6">
                  <c:v>1</c:v>
                </c:pt>
                <c:pt idx="7">
                  <c:v>1</c:v>
                </c:pt>
                <c:pt idx="8">
                  <c:v>0</c:v>
                </c:pt>
                <c:pt idx="9">
                  <c:v>3</c:v>
                </c:pt>
                <c:pt idx="10">
                  <c:v>0</c:v>
                </c:pt>
                <c:pt idx="11">
                  <c:v>1</c:v>
                </c:pt>
                <c:pt idx="12">
                  <c:v>0</c:v>
                </c:pt>
                <c:pt idx="13">
                  <c:v>3</c:v>
                </c:pt>
                <c:pt idx="14">
                  <c:v>1</c:v>
                </c:pt>
                <c:pt idx="15">
                  <c:v>0</c:v>
                </c:pt>
                <c:pt idx="16">
                  <c:v>1</c:v>
                </c:pt>
                <c:pt idx="17">
                  <c:v>1</c:v>
                </c:pt>
                <c:pt idx="18">
                  <c:v>1</c:v>
                </c:pt>
                <c:pt idx="19">
                  <c:v>1</c:v>
                </c:pt>
                <c:pt idx="20">
                  <c:v>1</c:v>
                </c:pt>
                <c:pt idx="21">
                  <c:v>1</c:v>
                </c:pt>
                <c:pt idx="22">
                  <c:v>1</c:v>
                </c:pt>
                <c:pt idx="23">
                  <c:v>0</c:v>
                </c:pt>
                <c:pt idx="24">
                  <c:v>1</c:v>
                </c:pt>
              </c:numCache>
            </c:numRef>
          </c:val>
          <c:extLst>
            <c:ext xmlns:c16="http://schemas.microsoft.com/office/drawing/2014/chart" uri="{C3380CC4-5D6E-409C-BE32-E72D297353CC}">
              <c16:uniqueId val="{00000001-4132-4A1B-B61B-54D896629FEE}"/>
            </c:ext>
          </c:extLst>
        </c:ser>
        <c:dLbls>
          <c:dLblPos val="outEnd"/>
          <c:showLegendKey val="0"/>
          <c:showVal val="1"/>
          <c:showCatName val="0"/>
          <c:showSerName val="0"/>
          <c:showPercent val="0"/>
          <c:showBubbleSize val="0"/>
        </c:dLbls>
        <c:gapWidth val="219"/>
        <c:overlap val="-27"/>
        <c:axId val="152713039"/>
        <c:axId val="152689039"/>
      </c:barChart>
      <c:catAx>
        <c:axId val="1527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213D"/>
                </a:solidFill>
                <a:latin typeface="+mn-lt"/>
                <a:ea typeface="+mn-ea"/>
                <a:cs typeface="+mn-cs"/>
              </a:defRPr>
            </a:pPr>
            <a:endParaRPr lang="en-US"/>
          </a:p>
        </c:txPr>
        <c:crossAx val="152689039"/>
        <c:crosses val="autoZero"/>
        <c:auto val="1"/>
        <c:lblAlgn val="ctr"/>
        <c:lblOffset val="100"/>
        <c:noMultiLvlLbl val="0"/>
      </c:catAx>
      <c:valAx>
        <c:axId val="152689039"/>
        <c:scaling>
          <c:orientation val="minMax"/>
        </c:scaling>
        <c:delete val="1"/>
        <c:axPos val="l"/>
        <c:numFmt formatCode="General" sourceLinked="1"/>
        <c:majorTickMark val="none"/>
        <c:minorTickMark val="none"/>
        <c:tickLblPos val="nextTo"/>
        <c:crossAx val="152713039"/>
        <c:crosses val="autoZero"/>
        <c:crossBetween val="between"/>
      </c:valAx>
      <c:spPr>
        <a:noFill/>
        <a:ln>
          <a:noFill/>
        </a:ln>
        <a:effectLst/>
      </c:spPr>
    </c:plotArea>
    <c:legend>
      <c:legendPos val="t"/>
      <c:layout>
        <c:manualLayout>
          <c:xMode val="edge"/>
          <c:yMode val="edge"/>
          <c:x val="0.7519835522830689"/>
          <c:y val="1.8408925902277311E-2"/>
          <c:w val="0.24390169908026177"/>
          <c:h val="7.7758044239006022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6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2).xlsx]Sheet5!PivotTable9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rgbClr val="14213D"/>
                </a:solidFill>
              </a:rPr>
              <a:t>الهدف اليومي من عدد الطلبات</a:t>
            </a:r>
            <a:endParaRPr lang="en-US" sz="1800" b="1">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79999433075434E-2"/>
          <c:y val="0.17995943407460907"/>
          <c:w val="0.86388827865759343"/>
          <c:h val="0.74825169330084873"/>
        </c:manualLayout>
      </c:layout>
      <c:barChart>
        <c:barDir val="bar"/>
        <c:grouping val="clustered"/>
        <c:varyColors val="0"/>
        <c:ser>
          <c:idx val="0"/>
          <c:order val="0"/>
          <c:tx>
            <c:strRef>
              <c:f>Sheet5!$A$4</c:f>
              <c:strCache>
                <c:ptCount val="1"/>
                <c:pt idx="0">
                  <c:v>Sum of عدد الطلبات المستهدفة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Sheet5!$A$5</c:f>
              <c:numCache>
                <c:formatCode>General</c:formatCode>
                <c:ptCount val="1"/>
                <c:pt idx="0">
                  <c:v>1611</c:v>
                </c:pt>
              </c:numCache>
            </c:numRef>
          </c:val>
          <c:extLst>
            <c:ext xmlns:c16="http://schemas.microsoft.com/office/drawing/2014/chart" uri="{C3380CC4-5D6E-409C-BE32-E72D297353CC}">
              <c16:uniqueId val="{00000000-7B55-467B-B071-13935D161886}"/>
            </c:ext>
          </c:extLst>
        </c:ser>
        <c:ser>
          <c:idx val="1"/>
          <c:order val="1"/>
          <c:tx>
            <c:strRef>
              <c:f>Sheet5!$B$4</c:f>
              <c:strCache>
                <c:ptCount val="1"/>
                <c:pt idx="0">
                  <c:v>Count of رقم الطلب</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Sheet5!$B$5</c:f>
              <c:numCache>
                <c:formatCode>General</c:formatCode>
                <c:ptCount val="1"/>
                <c:pt idx="0">
                  <c:v>40</c:v>
                </c:pt>
              </c:numCache>
            </c:numRef>
          </c:val>
          <c:extLst>
            <c:ext xmlns:c16="http://schemas.microsoft.com/office/drawing/2014/chart" uri="{C3380CC4-5D6E-409C-BE32-E72D297353CC}">
              <c16:uniqueId val="{00000001-7B55-467B-B071-13935D161886}"/>
            </c:ext>
          </c:extLst>
        </c:ser>
        <c:dLbls>
          <c:dLblPos val="outEnd"/>
          <c:showLegendKey val="0"/>
          <c:showVal val="1"/>
          <c:showCatName val="0"/>
          <c:showSerName val="0"/>
          <c:showPercent val="0"/>
          <c:showBubbleSize val="0"/>
        </c:dLbls>
        <c:gapWidth val="182"/>
        <c:axId val="1949538143"/>
        <c:axId val="1949523263"/>
      </c:barChart>
      <c:catAx>
        <c:axId val="1949538143"/>
        <c:scaling>
          <c:orientation val="minMax"/>
        </c:scaling>
        <c:delete val="1"/>
        <c:axPos val="l"/>
        <c:numFmt formatCode="General" sourceLinked="1"/>
        <c:majorTickMark val="none"/>
        <c:minorTickMark val="none"/>
        <c:tickLblPos val="nextTo"/>
        <c:crossAx val="1949523263"/>
        <c:crosses val="autoZero"/>
        <c:auto val="1"/>
        <c:lblAlgn val="ctr"/>
        <c:lblOffset val="100"/>
        <c:noMultiLvlLbl val="0"/>
      </c:catAx>
      <c:valAx>
        <c:axId val="1949523263"/>
        <c:scaling>
          <c:orientation val="minMax"/>
        </c:scaling>
        <c:delete val="1"/>
        <c:axPos val="b"/>
        <c:numFmt formatCode="General" sourceLinked="1"/>
        <c:majorTickMark val="none"/>
        <c:minorTickMark val="none"/>
        <c:tickLblPos val="nextTo"/>
        <c:crossAx val="1949538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alpha val="98000"/>
        </a:schemeClr>
      </a:solidFill>
      <a:round/>
    </a:ln>
    <a:effectLst>
      <a:outerShdw blurRad="50800" dist="50800" dir="5400000" algn="ctr" rotWithShape="0">
        <a:schemeClr val="bg2">
          <a:lumMod val="75000"/>
          <a:alpha val="9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2).xlsx]Sheet2!PivotTable13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Sheet2!$O$3</c:f>
              <c:strCache>
                <c:ptCount val="1"/>
                <c:pt idx="0">
                  <c:v>Total</c:v>
                </c:pt>
              </c:strCache>
            </c:strRef>
          </c:tx>
          <c:spPr>
            <a:solidFill>
              <a:schemeClr val="accent1"/>
            </a:solidFill>
            <a:ln>
              <a:noFill/>
            </a:ln>
            <a:effectLst/>
          </c:spPr>
          <c:invertIfNegative val="0"/>
          <c:cat>
            <c:strRef>
              <c:f>Sheet2!$N$4:$N$13</c:f>
              <c:strCache>
                <c:ptCount val="9"/>
                <c:pt idx="0">
                  <c:v>الائتمان</c:v>
                </c:pt>
                <c:pt idx="1">
                  <c:v>التحقق</c:v>
                </c:pt>
                <c:pt idx="2">
                  <c:v>بانتظار المستندات</c:v>
                </c:pt>
                <c:pt idx="3">
                  <c:v>تم التسليم</c:v>
                </c:pt>
                <c:pt idx="4">
                  <c:v>تم التوقيع</c:v>
                </c:pt>
                <c:pt idx="5">
                  <c:v>سيتم رفع الطلب</c:v>
                </c:pt>
                <c:pt idx="6">
                  <c:v>قبول عرض</c:v>
                </c:pt>
                <c:pt idx="7">
                  <c:v>مرفوض</c:v>
                </c:pt>
                <c:pt idx="8">
                  <c:v>(blank)</c:v>
                </c:pt>
              </c:strCache>
            </c:strRef>
          </c:cat>
          <c:val>
            <c:numRef>
              <c:f>Sheet2!$O$4:$O$13</c:f>
              <c:numCache>
                <c:formatCode>General</c:formatCode>
                <c:ptCount val="9"/>
                <c:pt idx="0">
                  <c:v>1</c:v>
                </c:pt>
                <c:pt idx="1">
                  <c:v>1</c:v>
                </c:pt>
                <c:pt idx="2">
                  <c:v>2</c:v>
                </c:pt>
                <c:pt idx="3">
                  <c:v>16</c:v>
                </c:pt>
                <c:pt idx="4">
                  <c:v>2</c:v>
                </c:pt>
                <c:pt idx="5">
                  <c:v>4</c:v>
                </c:pt>
                <c:pt idx="6">
                  <c:v>3</c:v>
                </c:pt>
                <c:pt idx="7">
                  <c:v>11</c:v>
                </c:pt>
              </c:numCache>
            </c:numRef>
          </c:val>
          <c:extLst>
            <c:ext xmlns:c16="http://schemas.microsoft.com/office/drawing/2014/chart" uri="{C3380CC4-5D6E-409C-BE32-E72D297353CC}">
              <c16:uniqueId val="{00000000-A132-4EB1-B55E-B23FA8A0919F}"/>
            </c:ext>
          </c:extLst>
        </c:ser>
        <c:dLbls>
          <c:showLegendKey val="0"/>
          <c:showVal val="0"/>
          <c:showCatName val="0"/>
          <c:showSerName val="0"/>
          <c:showPercent val="0"/>
          <c:showBubbleSize val="0"/>
        </c:dLbls>
        <c:gapWidth val="182"/>
        <c:axId val="222133631"/>
        <c:axId val="222133215"/>
      </c:barChart>
      <c:catAx>
        <c:axId val="2221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33215"/>
        <c:crosses val="autoZero"/>
        <c:auto val="1"/>
        <c:lblAlgn val="ctr"/>
        <c:lblOffset val="100"/>
        <c:noMultiLvlLbl val="0"/>
      </c:catAx>
      <c:valAx>
        <c:axId val="22213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2).xlsx]Sheet2!PivotTable20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Sheet2!$U$3</c:f>
              <c:strCache>
                <c:ptCount val="1"/>
                <c:pt idx="0">
                  <c:v>Total</c:v>
                </c:pt>
              </c:strCache>
            </c:strRef>
          </c:tx>
          <c:spPr>
            <a:solidFill>
              <a:schemeClr val="accent1"/>
            </a:solidFill>
            <a:ln>
              <a:noFill/>
            </a:ln>
            <a:effectLst/>
          </c:spPr>
          <c:invertIfNegative val="0"/>
          <c:cat>
            <c:strRef>
              <c:f>Sheet2!$T$4:$T$12</c:f>
              <c:strCache>
                <c:ptCount val="8"/>
                <c:pt idx="0">
                  <c:v>CRM</c:v>
                </c:pt>
                <c:pt idx="1">
                  <c:v>اتصال وارد</c:v>
                </c:pt>
                <c:pt idx="2">
                  <c:v>إحالة من عميل</c:v>
                </c:pt>
                <c:pt idx="3">
                  <c:v>بحث شخصي</c:v>
                </c:pt>
                <c:pt idx="4">
                  <c:v>حضوري</c:v>
                </c:pt>
                <c:pt idx="5">
                  <c:v>طلبات الكاسل</c:v>
                </c:pt>
                <c:pt idx="6">
                  <c:v>قاعدة البيانات</c:v>
                </c:pt>
                <c:pt idx="7">
                  <c:v>(blank)</c:v>
                </c:pt>
              </c:strCache>
            </c:strRef>
          </c:cat>
          <c:val>
            <c:numRef>
              <c:f>Sheet2!$U$4:$U$12</c:f>
              <c:numCache>
                <c:formatCode>General</c:formatCode>
                <c:ptCount val="8"/>
                <c:pt idx="0">
                  <c:v>6</c:v>
                </c:pt>
                <c:pt idx="1">
                  <c:v>3</c:v>
                </c:pt>
                <c:pt idx="2">
                  <c:v>11</c:v>
                </c:pt>
                <c:pt idx="3">
                  <c:v>4</c:v>
                </c:pt>
                <c:pt idx="4">
                  <c:v>7</c:v>
                </c:pt>
                <c:pt idx="5">
                  <c:v>6</c:v>
                </c:pt>
                <c:pt idx="6">
                  <c:v>3</c:v>
                </c:pt>
              </c:numCache>
            </c:numRef>
          </c:val>
          <c:extLst>
            <c:ext xmlns:c16="http://schemas.microsoft.com/office/drawing/2014/chart" uri="{C3380CC4-5D6E-409C-BE32-E72D297353CC}">
              <c16:uniqueId val="{00000000-9203-4684-9B98-B8C0B45D1321}"/>
            </c:ext>
          </c:extLst>
        </c:ser>
        <c:dLbls>
          <c:showLegendKey val="0"/>
          <c:showVal val="0"/>
          <c:showCatName val="0"/>
          <c:showSerName val="0"/>
          <c:showPercent val="0"/>
          <c:showBubbleSize val="0"/>
        </c:dLbls>
        <c:gapWidth val="219"/>
        <c:overlap val="-27"/>
        <c:axId val="1207052032"/>
        <c:axId val="1207050368"/>
      </c:barChart>
      <c:catAx>
        <c:axId val="1207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50368"/>
        <c:crosses val="autoZero"/>
        <c:auto val="1"/>
        <c:lblAlgn val="ctr"/>
        <c:lblOffset val="100"/>
        <c:noMultiLvlLbl val="0"/>
      </c:catAx>
      <c:valAx>
        <c:axId val="120705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2).xlsx]Sheet2!PivotTable16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0A-42B5-AD89-71AEBC976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0A-42B5-AD89-71AEBC9767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0A-42B5-AD89-71AEBC9767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0A-42B5-AD89-71AEBC9767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0A-42B5-AD89-71AEBC97671B}"/>
              </c:ext>
            </c:extLst>
          </c:dPt>
          <c:cat>
            <c:strRef>
              <c:f>Sheet2!$W$4:$W$9</c:f>
              <c:strCache>
                <c:ptCount val="5"/>
                <c:pt idx="0">
                  <c:v>ايجارة</c:v>
                </c:pt>
                <c:pt idx="1">
                  <c:v>تمويل إضافي</c:v>
                </c:pt>
                <c:pt idx="2">
                  <c:v>تمويل شخصي</c:v>
                </c:pt>
                <c:pt idx="3">
                  <c:v>شراء مديونية</c:v>
                </c:pt>
                <c:pt idx="4">
                  <c:v>(blank)</c:v>
                </c:pt>
              </c:strCache>
            </c:strRef>
          </c:cat>
          <c:val>
            <c:numRef>
              <c:f>Sheet2!$X$4:$X$9</c:f>
              <c:numCache>
                <c:formatCode>General</c:formatCode>
                <c:ptCount val="5"/>
                <c:pt idx="0">
                  <c:v>12</c:v>
                </c:pt>
                <c:pt idx="1">
                  <c:v>13</c:v>
                </c:pt>
                <c:pt idx="2">
                  <c:v>5</c:v>
                </c:pt>
                <c:pt idx="3">
                  <c:v>10</c:v>
                </c:pt>
              </c:numCache>
            </c:numRef>
          </c:val>
          <c:extLst>
            <c:ext xmlns:c16="http://schemas.microsoft.com/office/drawing/2014/chart" uri="{C3380CC4-5D6E-409C-BE32-E72D297353CC}">
              <c16:uniqueId val="{00000008-C043-4359-9EAD-ADE14740BF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noFill/>
          <a:ln w="19050">
            <a:noFill/>
          </a:ln>
          <a:effectLst/>
        </c:spPr>
        <c:dLbl>
          <c:idx val="0"/>
          <c:delete val="1"/>
          <c:extLst>
            <c:ext xmlns:c15="http://schemas.microsoft.com/office/drawing/2012/chart" uri="{CE6537A1-D6FC-4f65-9D91-7224C49458BB}"/>
          </c:extLst>
        </c:dLbl>
      </c:pivotFmt>
      <c:pivotFmt>
        <c:idx val="4"/>
        <c:spPr>
          <a:solidFill>
            <a:schemeClr val="accent1"/>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accent1"/>
            </a:solidFill>
          </a:ln>
          <a:effectLst/>
        </c:spPr>
      </c:pivotFmt>
      <c:pivotFmt>
        <c:idx val="8"/>
        <c:spPr>
          <a:solidFill>
            <a:schemeClr val="accent1"/>
          </a:solidFill>
          <a:ln w="19050">
            <a:noFill/>
          </a:ln>
          <a:effectLst/>
        </c:spPr>
      </c:pivotFmt>
      <c:pivotFmt>
        <c:idx val="9"/>
        <c:spPr>
          <a:noFill/>
          <a:ln w="19050">
            <a:noFill/>
          </a:ln>
          <a:effectLst/>
        </c:spPr>
        <c:dLbl>
          <c:idx val="0"/>
          <c:delete val="1"/>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accent1"/>
            </a:solidFill>
          </a:ln>
          <a:effectLst/>
        </c:spPr>
      </c:pivotFmt>
      <c:pivotFmt>
        <c:idx val="12"/>
        <c:spPr>
          <a:solidFill>
            <a:schemeClr val="accent1"/>
          </a:solidFill>
          <a:ln w="19050">
            <a:noFill/>
          </a:ln>
          <a:effectLst/>
        </c:spPr>
      </c:pivotFmt>
      <c:pivotFmt>
        <c:idx val="13"/>
        <c:spPr>
          <a:noFill/>
          <a:ln w="19050">
            <a:noFill/>
          </a:ln>
          <a:effectLst/>
        </c:spPr>
        <c:dLbl>
          <c:idx val="0"/>
          <c:delete val="1"/>
          <c:extLst>
            <c:ext xmlns:c15="http://schemas.microsoft.com/office/drawing/2012/chart" uri="{CE6537A1-D6FC-4f65-9D91-7224C49458BB}"/>
          </c:extLst>
        </c:dLbl>
      </c:pivotFmt>
      <c:pivotFmt>
        <c:idx val="14"/>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accent1"/>
            </a:solidFill>
          </a:ln>
          <a:effectLst/>
        </c:spPr>
      </c:pivotFmt>
      <c:pivotFmt>
        <c:idx val="16"/>
        <c:spPr>
          <a:solidFill>
            <a:schemeClr val="accent2"/>
          </a:solidFill>
          <a:ln w="19050">
            <a:noFill/>
          </a:ln>
          <a:effectLst/>
        </c:spPr>
      </c:pivotFmt>
      <c:pivotFmt>
        <c:idx val="17"/>
        <c:spPr>
          <a:noFill/>
          <a:ln w="19050">
            <a:noFill/>
          </a:ln>
          <a:effectLst/>
        </c:spPr>
        <c:dLbl>
          <c:idx val="0"/>
          <c:delete val="1"/>
          <c:extLst>
            <c:ext xmlns:c15="http://schemas.microsoft.com/office/drawing/2012/chart" uri="{CE6537A1-D6FC-4f65-9D91-7224C49458BB}"/>
          </c:extLst>
        </c:dLbl>
      </c:pivotFmt>
    </c:pivotFmts>
    <c:plotArea>
      <c:layout/>
      <c:doughnutChart>
        <c:varyColors val="1"/>
        <c:ser>
          <c:idx val="0"/>
          <c:order val="0"/>
          <c:tx>
            <c:strRef>
              <c:f>Sheet2!$AE$14</c:f>
              <c:strCache>
                <c:ptCount val="1"/>
                <c:pt idx="0">
                  <c:v>Total</c:v>
                </c:pt>
              </c:strCache>
            </c:strRef>
          </c:tx>
          <c:spPr>
            <a:ln>
              <a:noFill/>
            </a:ln>
          </c:spPr>
          <c:explosion val="2"/>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9-C0EF-4B46-823E-4738A70ED2A0}"/>
              </c:ext>
            </c:extLst>
          </c:dPt>
          <c:dPt>
            <c:idx val="1"/>
            <c:bubble3D val="0"/>
            <c:explosion val="0"/>
            <c:spPr>
              <a:solidFill>
                <a:schemeClr val="accent2"/>
              </a:solidFill>
              <a:ln w="19050">
                <a:noFill/>
              </a:ln>
              <a:effectLst/>
            </c:spPr>
            <c:extLst>
              <c:ext xmlns:c16="http://schemas.microsoft.com/office/drawing/2014/chart" uri="{C3380CC4-5D6E-409C-BE32-E72D297353CC}">
                <c16:uniqueId val="{0000000B-C0EF-4B46-823E-4738A70ED2A0}"/>
              </c:ext>
            </c:extLst>
          </c:dPt>
          <c:dPt>
            <c:idx val="2"/>
            <c:bubble3D val="0"/>
            <c:spPr>
              <a:noFill/>
              <a:ln w="19050">
                <a:noFill/>
              </a:ln>
              <a:effectLst/>
            </c:spPr>
            <c:extLst>
              <c:ext xmlns:c16="http://schemas.microsoft.com/office/drawing/2014/chart" uri="{C3380CC4-5D6E-409C-BE32-E72D297353CC}">
                <c16:uniqueId val="{0000000D-C0EF-4B46-823E-4738A70ED2A0}"/>
              </c:ext>
            </c:extLst>
          </c:dPt>
          <c:dLbls>
            <c:dLbl>
              <c:idx val="2"/>
              <c:delete val="1"/>
              <c:extLst>
                <c:ext xmlns:c15="http://schemas.microsoft.com/office/drawing/2012/chart" uri="{CE6537A1-D6FC-4f65-9D91-7224C49458BB}"/>
                <c:ext xmlns:c16="http://schemas.microsoft.com/office/drawing/2014/chart" uri="{C3380CC4-5D6E-409C-BE32-E72D297353CC}">
                  <c16:uniqueId val="{0000000D-C0EF-4B46-823E-4738A70ED2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Sheet2!$AD$15:$AD$17</c:f>
              <c:strCache>
                <c:ptCount val="3"/>
                <c:pt idx="0">
                  <c:v>Average of المتبقي</c:v>
                </c:pt>
                <c:pt idx="1">
                  <c:v>Average of تم_التسليم.</c:v>
                </c:pt>
                <c:pt idx="2">
                  <c:v>Average of تسلسل</c:v>
                </c:pt>
              </c:strCache>
            </c:strRef>
          </c:cat>
          <c:val>
            <c:numRef>
              <c:f>Sheet2!$AE$15:$AE$17</c:f>
              <c:numCache>
                <c:formatCode>0%</c:formatCode>
                <c:ptCount val="3"/>
                <c:pt idx="0">
                  <c:v>0.6</c:v>
                </c:pt>
                <c:pt idx="1">
                  <c:v>0.4</c:v>
                </c:pt>
                <c:pt idx="2">
                  <c:v>1</c:v>
                </c:pt>
              </c:numCache>
            </c:numRef>
          </c:val>
          <c:extLst>
            <c:ext xmlns:c16="http://schemas.microsoft.com/office/drawing/2014/chart" uri="{C3380CC4-5D6E-409C-BE32-E72D297353CC}">
              <c16:uniqueId val="{0000000E-C0EF-4B46-823E-4738A70ED2A0}"/>
            </c:ext>
          </c:extLst>
        </c:ser>
        <c:dLbls>
          <c:showLegendKey val="0"/>
          <c:showVal val="1"/>
          <c:showCatName val="0"/>
          <c:showSerName val="0"/>
          <c:showPercent val="0"/>
          <c:showBubbleSize val="0"/>
          <c:showLeaderLines val="1"/>
        </c:dLbls>
        <c:firstSliceAng val="27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2).xlsx]Sheet2!PivotTable4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Sheet2!$AC$22</c:f>
              <c:strCache>
                <c:ptCount val="1"/>
                <c:pt idx="0">
                  <c:v>Count of تسلسل</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Sheet2!$AB$23:$AB$49</c:f>
              <c:strCache>
                <c:ptCount val="26"/>
                <c:pt idx="0">
                  <c:v>01-سبتمبر</c:v>
                </c:pt>
                <c:pt idx="1">
                  <c:v>02-سبتمبر</c:v>
                </c:pt>
                <c:pt idx="2">
                  <c:v>03-سبتمبر</c:v>
                </c:pt>
                <c:pt idx="3">
                  <c:v>04-سبتمبر</c:v>
                </c:pt>
                <c:pt idx="4">
                  <c:v>05-سبتمبر</c:v>
                </c:pt>
                <c:pt idx="5">
                  <c:v>06-سبتمبر</c:v>
                </c:pt>
                <c:pt idx="6">
                  <c:v>07-سبتمبر</c:v>
                </c:pt>
                <c:pt idx="7">
                  <c:v>08-سبتمبر</c:v>
                </c:pt>
                <c:pt idx="8">
                  <c:v>09-سبتمبر</c:v>
                </c:pt>
                <c:pt idx="9">
                  <c:v>10-سبتمبر</c:v>
                </c:pt>
                <c:pt idx="10">
                  <c:v>11-سبتمبر</c:v>
                </c:pt>
                <c:pt idx="11">
                  <c:v>12-سبتمبر</c:v>
                </c:pt>
                <c:pt idx="12">
                  <c:v>13-سبتمبر</c:v>
                </c:pt>
                <c:pt idx="13">
                  <c:v>14-سبتمبر</c:v>
                </c:pt>
                <c:pt idx="14">
                  <c:v>15-سبتمبر</c:v>
                </c:pt>
                <c:pt idx="15">
                  <c:v>16-سبتمبر</c:v>
                </c:pt>
                <c:pt idx="16">
                  <c:v>17-سبتمبر</c:v>
                </c:pt>
                <c:pt idx="17">
                  <c:v>18-سبتمبر</c:v>
                </c:pt>
                <c:pt idx="18">
                  <c:v>19-سبتمبر</c:v>
                </c:pt>
                <c:pt idx="19">
                  <c:v>20-سبتمبر</c:v>
                </c:pt>
                <c:pt idx="20">
                  <c:v>21-سبتمبر</c:v>
                </c:pt>
                <c:pt idx="21">
                  <c:v>22-سبتمبر</c:v>
                </c:pt>
                <c:pt idx="22">
                  <c:v>23-سبتمبر</c:v>
                </c:pt>
                <c:pt idx="23">
                  <c:v>24-سبتمبر</c:v>
                </c:pt>
                <c:pt idx="24">
                  <c:v>25-سبتمبر</c:v>
                </c:pt>
                <c:pt idx="25">
                  <c:v>&lt;01/09/2025</c:v>
                </c:pt>
              </c:strCache>
            </c:strRef>
          </c:cat>
          <c:val>
            <c:numRef>
              <c:f>Sheet2!$AC$23:$AC$49</c:f>
              <c:numCache>
                <c:formatCode>General</c:formatCode>
                <c:ptCount val="26"/>
                <c:pt idx="0">
                  <c:v>1</c:v>
                </c:pt>
                <c:pt idx="1">
                  <c:v>4</c:v>
                </c:pt>
                <c:pt idx="2">
                  <c:v>2</c:v>
                </c:pt>
                <c:pt idx="3">
                  <c:v>4</c:v>
                </c:pt>
                <c:pt idx="4">
                  <c:v>2</c:v>
                </c:pt>
                <c:pt idx="5">
                  <c:v>1</c:v>
                </c:pt>
                <c:pt idx="6">
                  <c:v>1</c:v>
                </c:pt>
                <c:pt idx="7">
                  <c:v>2</c:v>
                </c:pt>
                <c:pt idx="8">
                  <c:v>1</c:v>
                </c:pt>
                <c:pt idx="9">
                  <c:v>3</c:v>
                </c:pt>
                <c:pt idx="10">
                  <c:v>1</c:v>
                </c:pt>
                <c:pt idx="11">
                  <c:v>1</c:v>
                </c:pt>
                <c:pt idx="12">
                  <c:v>1</c:v>
                </c:pt>
                <c:pt idx="13">
                  <c:v>4</c:v>
                </c:pt>
                <c:pt idx="14">
                  <c:v>2</c:v>
                </c:pt>
                <c:pt idx="15">
                  <c:v>1</c:v>
                </c:pt>
                <c:pt idx="16">
                  <c:v>1</c:v>
                </c:pt>
                <c:pt idx="17">
                  <c:v>1</c:v>
                </c:pt>
                <c:pt idx="18">
                  <c:v>1</c:v>
                </c:pt>
                <c:pt idx="19">
                  <c:v>1</c:v>
                </c:pt>
                <c:pt idx="20">
                  <c:v>1</c:v>
                </c:pt>
                <c:pt idx="21">
                  <c:v>1</c:v>
                </c:pt>
                <c:pt idx="22">
                  <c:v>1</c:v>
                </c:pt>
                <c:pt idx="23">
                  <c:v>1</c:v>
                </c:pt>
                <c:pt idx="24">
                  <c:v>1</c:v>
                </c:pt>
              </c:numCache>
            </c:numRef>
          </c:val>
          <c:extLst>
            <c:ext xmlns:c16="http://schemas.microsoft.com/office/drawing/2014/chart" uri="{C3380CC4-5D6E-409C-BE32-E72D297353CC}">
              <c16:uniqueId val="{00000000-1C45-4EC9-988F-6865AE5B67EE}"/>
            </c:ext>
          </c:extLst>
        </c:ser>
        <c:ser>
          <c:idx val="1"/>
          <c:order val="1"/>
          <c:tx>
            <c:strRef>
              <c:f>Sheet2!$AD$22</c:f>
              <c:strCache>
                <c:ptCount val="1"/>
                <c:pt idx="0">
                  <c:v>Sum of عدد الاستجابة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Sheet2!$AB$23:$AB$49</c:f>
              <c:strCache>
                <c:ptCount val="26"/>
                <c:pt idx="0">
                  <c:v>01-سبتمبر</c:v>
                </c:pt>
                <c:pt idx="1">
                  <c:v>02-سبتمبر</c:v>
                </c:pt>
                <c:pt idx="2">
                  <c:v>03-سبتمبر</c:v>
                </c:pt>
                <c:pt idx="3">
                  <c:v>04-سبتمبر</c:v>
                </c:pt>
                <c:pt idx="4">
                  <c:v>05-سبتمبر</c:v>
                </c:pt>
                <c:pt idx="5">
                  <c:v>06-سبتمبر</c:v>
                </c:pt>
                <c:pt idx="6">
                  <c:v>07-سبتمبر</c:v>
                </c:pt>
                <c:pt idx="7">
                  <c:v>08-سبتمبر</c:v>
                </c:pt>
                <c:pt idx="8">
                  <c:v>09-سبتمبر</c:v>
                </c:pt>
                <c:pt idx="9">
                  <c:v>10-سبتمبر</c:v>
                </c:pt>
                <c:pt idx="10">
                  <c:v>11-سبتمبر</c:v>
                </c:pt>
                <c:pt idx="11">
                  <c:v>12-سبتمبر</c:v>
                </c:pt>
                <c:pt idx="12">
                  <c:v>13-سبتمبر</c:v>
                </c:pt>
                <c:pt idx="13">
                  <c:v>14-سبتمبر</c:v>
                </c:pt>
                <c:pt idx="14">
                  <c:v>15-سبتمبر</c:v>
                </c:pt>
                <c:pt idx="15">
                  <c:v>16-سبتمبر</c:v>
                </c:pt>
                <c:pt idx="16">
                  <c:v>17-سبتمبر</c:v>
                </c:pt>
                <c:pt idx="17">
                  <c:v>18-سبتمبر</c:v>
                </c:pt>
                <c:pt idx="18">
                  <c:v>19-سبتمبر</c:v>
                </c:pt>
                <c:pt idx="19">
                  <c:v>20-سبتمبر</c:v>
                </c:pt>
                <c:pt idx="20">
                  <c:v>21-سبتمبر</c:v>
                </c:pt>
                <c:pt idx="21">
                  <c:v>22-سبتمبر</c:v>
                </c:pt>
                <c:pt idx="22">
                  <c:v>23-سبتمبر</c:v>
                </c:pt>
                <c:pt idx="23">
                  <c:v>24-سبتمبر</c:v>
                </c:pt>
                <c:pt idx="24">
                  <c:v>25-سبتمبر</c:v>
                </c:pt>
                <c:pt idx="25">
                  <c:v>&lt;01/09/2025</c:v>
                </c:pt>
              </c:strCache>
            </c:strRef>
          </c:cat>
          <c:val>
            <c:numRef>
              <c:f>Sheet2!$AD$23:$AD$49</c:f>
              <c:numCache>
                <c:formatCode>General</c:formatCode>
                <c:ptCount val="26"/>
                <c:pt idx="0">
                  <c:v>1</c:v>
                </c:pt>
                <c:pt idx="1">
                  <c:v>2</c:v>
                </c:pt>
                <c:pt idx="2">
                  <c:v>1</c:v>
                </c:pt>
                <c:pt idx="3">
                  <c:v>4</c:v>
                </c:pt>
                <c:pt idx="4">
                  <c:v>0</c:v>
                </c:pt>
                <c:pt idx="5">
                  <c:v>0</c:v>
                </c:pt>
                <c:pt idx="6">
                  <c:v>1</c:v>
                </c:pt>
                <c:pt idx="7">
                  <c:v>1</c:v>
                </c:pt>
                <c:pt idx="8">
                  <c:v>0</c:v>
                </c:pt>
                <c:pt idx="9">
                  <c:v>3</c:v>
                </c:pt>
                <c:pt idx="10">
                  <c:v>0</c:v>
                </c:pt>
                <c:pt idx="11">
                  <c:v>1</c:v>
                </c:pt>
                <c:pt idx="12">
                  <c:v>0</c:v>
                </c:pt>
                <c:pt idx="13">
                  <c:v>3</c:v>
                </c:pt>
                <c:pt idx="14">
                  <c:v>1</c:v>
                </c:pt>
                <c:pt idx="15">
                  <c:v>0</c:v>
                </c:pt>
                <c:pt idx="16">
                  <c:v>1</c:v>
                </c:pt>
                <c:pt idx="17">
                  <c:v>1</c:v>
                </c:pt>
                <c:pt idx="18">
                  <c:v>1</c:v>
                </c:pt>
                <c:pt idx="19">
                  <c:v>1</c:v>
                </c:pt>
                <c:pt idx="20">
                  <c:v>1</c:v>
                </c:pt>
                <c:pt idx="21">
                  <c:v>1</c:v>
                </c:pt>
                <c:pt idx="22">
                  <c:v>1</c:v>
                </c:pt>
                <c:pt idx="23">
                  <c:v>0</c:v>
                </c:pt>
                <c:pt idx="24">
                  <c:v>1</c:v>
                </c:pt>
              </c:numCache>
            </c:numRef>
          </c:val>
          <c:extLst>
            <c:ext xmlns:c16="http://schemas.microsoft.com/office/drawing/2014/chart" uri="{C3380CC4-5D6E-409C-BE32-E72D297353CC}">
              <c16:uniqueId val="{00000001-1C45-4EC9-988F-6865AE5B67EE}"/>
            </c:ext>
          </c:extLst>
        </c:ser>
        <c:dLbls>
          <c:dLblPos val="outEnd"/>
          <c:showLegendKey val="0"/>
          <c:showVal val="1"/>
          <c:showCatName val="0"/>
          <c:showSerName val="0"/>
          <c:showPercent val="0"/>
          <c:showBubbleSize val="0"/>
        </c:dLbls>
        <c:gapWidth val="219"/>
        <c:overlap val="-27"/>
        <c:axId val="152713039"/>
        <c:axId val="152689039"/>
      </c:barChart>
      <c:catAx>
        <c:axId val="1527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9039"/>
        <c:crosses val="autoZero"/>
        <c:auto val="1"/>
        <c:lblAlgn val="ctr"/>
        <c:lblOffset val="100"/>
        <c:noMultiLvlLbl val="0"/>
      </c:catAx>
      <c:valAx>
        <c:axId val="1526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032972218203855"/>
          <c:y val="0.24567542723820185"/>
          <c:w val="0.42254402287096976"/>
          <c:h val="0.75041578012848476"/>
        </c:manualLayout>
      </c:layout>
      <c:doughnutChart>
        <c:varyColors val="1"/>
        <c:ser>
          <c:idx val="0"/>
          <c:order val="0"/>
          <c:spPr>
            <a:ln>
              <a:solidFill>
                <a:schemeClr val="bg1"/>
              </a:solidFill>
            </a:ln>
          </c:spPr>
          <c:dPt>
            <c:idx val="0"/>
            <c:bubble3D val="0"/>
            <c:spPr>
              <a:noFill/>
              <a:ln w="19050">
                <a:solidFill>
                  <a:schemeClr val="bg1"/>
                </a:solidFill>
              </a:ln>
              <a:effectLst/>
            </c:spPr>
            <c:extLst>
              <c:ext xmlns:c16="http://schemas.microsoft.com/office/drawing/2014/chart" uri="{C3380CC4-5D6E-409C-BE32-E72D297353CC}">
                <c16:uniqueId val="{00000001-D6BE-4868-AE52-F84E949226F3}"/>
              </c:ext>
            </c:extLst>
          </c:dPt>
          <c:dPt>
            <c:idx val="1"/>
            <c:bubble3D val="0"/>
            <c:spPr>
              <a:solidFill>
                <a:schemeClr val="accent2"/>
              </a:solidFill>
              <a:ln w="19050">
                <a:solidFill>
                  <a:srgbClr val="FCA311"/>
                </a:solidFill>
              </a:ln>
              <a:effectLst/>
            </c:spPr>
            <c:extLst>
              <c:ext xmlns:c16="http://schemas.microsoft.com/office/drawing/2014/chart" uri="{C3380CC4-5D6E-409C-BE32-E72D297353CC}">
                <c16:uniqueId val="{00000003-D6BE-4868-AE52-F84E949226F3}"/>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2-D6BE-4868-AE52-F84E949226F3}"/>
              </c:ext>
            </c:extLst>
          </c:dPt>
          <c:dLbls>
            <c:dLbl>
              <c:idx val="0"/>
              <c:layout>
                <c:manualLayout>
                  <c:x val="5.2566475378504488E-3"/>
                  <c:y val="-0.12997296004945633"/>
                </c:manualLayout>
              </c:layout>
              <c:tx>
                <c:rich>
                  <a:bodyPr/>
                  <a:lstStyle/>
                  <a:p>
                    <a:fld id="{26F36C00-5B20-4B98-BDB1-C23AFA3DD58D}"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6BE-4868-AE52-F84E949226F3}"/>
                </c:ext>
              </c:extLst>
            </c:dLbl>
            <c:dLbl>
              <c:idx val="1"/>
              <c:layout>
                <c:manualLayout>
                  <c:x val="-0.12353121713948557"/>
                  <c:y val="-9.7451143767488035E-2"/>
                </c:manualLayout>
              </c:layout>
              <c:tx>
                <c:rich>
                  <a:bodyPr/>
                  <a:lstStyle/>
                  <a:p>
                    <a:fld id="{9C54350F-889D-44EA-8321-DE05585EDCF6}"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6BE-4868-AE52-F84E949226F3}"/>
                </c:ext>
              </c:extLst>
            </c:dLbl>
            <c:dLbl>
              <c:idx val="2"/>
              <c:layout>
                <c:manualLayout>
                  <c:x val="0.15244277859766303"/>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E-4868-AE52-F84E949226F3}"/>
                </c:ext>
              </c:extLst>
            </c:dLbl>
            <c:numFmt formatCode="#,##0\ [$ر.س.‏-401]"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Sheet2!$AN$14:$AP$14</c:f>
              <c:strCache>
                <c:ptCount val="3"/>
                <c:pt idx="0">
                  <c:v>المستهدف</c:v>
                </c:pt>
                <c:pt idx="1">
                  <c:v>المتحقق</c:v>
                </c:pt>
                <c:pt idx="2">
                  <c:v>المتبقي</c:v>
                </c:pt>
              </c:strCache>
            </c:strRef>
          </c:cat>
          <c:val>
            <c:numRef>
              <c:f>Sheet2!$AN$15:$AP$15</c:f>
              <c:numCache>
                <c:formatCode>#,##0\ [$ر.س.‏-401]</c:formatCode>
                <c:ptCount val="3"/>
                <c:pt idx="0" formatCode="#,##0.00\ [$ر.س.‏-401]">
                  <c:v>1000000</c:v>
                </c:pt>
                <c:pt idx="1">
                  <c:v>817400</c:v>
                </c:pt>
                <c:pt idx="2" formatCode="#,##0.00\ [$ر.س.‏-401]">
                  <c:v>182600</c:v>
                </c:pt>
              </c:numCache>
            </c:numRef>
          </c:val>
          <c:extLst>
            <c:ext xmlns:c16="http://schemas.microsoft.com/office/drawing/2014/chart" uri="{C3380CC4-5D6E-409C-BE32-E72D297353CC}">
              <c16:uniqueId val="{00000000-D6BE-4868-AE52-F84E949226F3}"/>
            </c:ext>
          </c:extLst>
        </c:ser>
        <c:dLbls>
          <c:showLegendKey val="0"/>
          <c:showVal val="1"/>
          <c:showCatName val="0"/>
          <c:showSerName val="0"/>
          <c:showPercent val="0"/>
          <c:showBubbleSize val="0"/>
          <c:showLeaderLines val="1"/>
        </c:dLbls>
        <c:firstSliceAng val="90"/>
        <c:holeSize val="50"/>
      </c:doughnutChart>
      <c:spPr>
        <a:noFill/>
        <a:ln>
          <a:noFill/>
        </a:ln>
        <a:effectLst/>
      </c:spPr>
    </c:plotArea>
    <c:legend>
      <c:legendPos val="r"/>
      <c:layout>
        <c:manualLayout>
          <c:xMode val="edge"/>
          <c:yMode val="edge"/>
          <c:x val="0.85595068022881737"/>
          <c:y val="0.38672421859982525"/>
          <c:w val="0.12827937715763132"/>
          <c:h val="0.29232035266240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 (version 1) (version 2).xlsx]Sheet5!PivotTable9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Sheet5!$A$4</c:f>
              <c:strCache>
                <c:ptCount val="1"/>
                <c:pt idx="0">
                  <c:v>Sum of عدد الطلبات المستهدفة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Sheet5!$A$5</c:f>
              <c:numCache>
                <c:formatCode>General</c:formatCode>
                <c:ptCount val="1"/>
                <c:pt idx="0">
                  <c:v>1611</c:v>
                </c:pt>
              </c:numCache>
            </c:numRef>
          </c:val>
          <c:extLst>
            <c:ext xmlns:c16="http://schemas.microsoft.com/office/drawing/2014/chart" uri="{C3380CC4-5D6E-409C-BE32-E72D297353CC}">
              <c16:uniqueId val="{00000010-79A3-4EDE-9A8E-B1A3A5579E39}"/>
            </c:ext>
          </c:extLst>
        </c:ser>
        <c:ser>
          <c:idx val="1"/>
          <c:order val="1"/>
          <c:tx>
            <c:strRef>
              <c:f>Sheet5!$B$4</c:f>
              <c:strCache>
                <c:ptCount val="1"/>
                <c:pt idx="0">
                  <c:v>Count of رقم الطلب</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Sheet5!$B$5</c:f>
              <c:numCache>
                <c:formatCode>General</c:formatCode>
                <c:ptCount val="1"/>
                <c:pt idx="0">
                  <c:v>40</c:v>
                </c:pt>
              </c:numCache>
            </c:numRef>
          </c:val>
          <c:extLst>
            <c:ext xmlns:c16="http://schemas.microsoft.com/office/drawing/2014/chart" uri="{C3380CC4-5D6E-409C-BE32-E72D297353CC}">
              <c16:uniqueId val="{00000011-79A3-4EDE-9A8E-B1A3A5579E39}"/>
            </c:ext>
          </c:extLst>
        </c:ser>
        <c:dLbls>
          <c:dLblPos val="outEnd"/>
          <c:showLegendKey val="0"/>
          <c:showVal val="1"/>
          <c:showCatName val="0"/>
          <c:showSerName val="0"/>
          <c:showPercent val="0"/>
          <c:showBubbleSize val="0"/>
        </c:dLbls>
        <c:gapWidth val="182"/>
        <c:axId val="1949538143"/>
        <c:axId val="1949523263"/>
      </c:barChart>
      <c:catAx>
        <c:axId val="194953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23263"/>
        <c:crosses val="autoZero"/>
        <c:auto val="1"/>
        <c:lblAlgn val="ctr"/>
        <c:lblOffset val="100"/>
        <c:noMultiLvlLbl val="0"/>
      </c:catAx>
      <c:valAx>
        <c:axId val="194952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526471</xdr:colOff>
      <xdr:row>0</xdr:row>
      <xdr:rowOff>0</xdr:rowOff>
    </xdr:from>
    <xdr:to>
      <xdr:col>30</xdr:col>
      <xdr:colOff>415636</xdr:colOff>
      <xdr:row>63</xdr:row>
      <xdr:rowOff>76200</xdr:rowOff>
    </xdr:to>
    <xdr:sp macro="" textlink="">
      <xdr:nvSpPr>
        <xdr:cNvPr id="45" name="Rectangle: Rounded Corners 44">
          <a:extLst>
            <a:ext uri="{FF2B5EF4-FFF2-40B4-BE49-F238E27FC236}">
              <a16:creationId xmlns:a16="http://schemas.microsoft.com/office/drawing/2014/main" id="{88580825-B716-19B8-9417-4DBEB49E8805}"/>
            </a:ext>
          </a:extLst>
        </xdr:cNvPr>
        <xdr:cNvSpPr/>
      </xdr:nvSpPr>
      <xdr:spPr>
        <a:xfrm>
          <a:off x="10422137236" y="0"/>
          <a:ext cx="14547274" cy="11423073"/>
        </a:xfrm>
        <a:prstGeom prst="roundRect">
          <a:avLst>
            <a:gd name="adj" fmla="val 2449"/>
          </a:avLst>
        </a:prstGeom>
        <a:solidFill>
          <a:srgbClr val="14213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26</xdr:col>
      <xdr:colOff>18326</xdr:colOff>
      <xdr:row>32</xdr:row>
      <xdr:rowOff>120140</xdr:rowOff>
    </xdr:from>
    <xdr:to>
      <xdr:col>30</xdr:col>
      <xdr:colOff>277089</xdr:colOff>
      <xdr:row>62</xdr:row>
      <xdr:rowOff>20776</xdr:rowOff>
    </xdr:to>
    <xdr:graphicFrame macro="">
      <xdr:nvGraphicFramePr>
        <xdr:cNvPr id="2" name="Chart 1">
          <a:extLst>
            <a:ext uri="{FF2B5EF4-FFF2-40B4-BE49-F238E27FC236}">
              <a16:creationId xmlns:a16="http://schemas.microsoft.com/office/drawing/2014/main" id="{AAE1F44E-3B4B-470C-9597-B6C726DB1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93851</xdr:colOff>
      <xdr:row>26</xdr:row>
      <xdr:rowOff>162492</xdr:rowOff>
    </xdr:from>
    <xdr:to>
      <xdr:col>25</xdr:col>
      <xdr:colOff>496397</xdr:colOff>
      <xdr:row>45</xdr:row>
      <xdr:rowOff>158753</xdr:rowOff>
    </xdr:to>
    <xdr:graphicFrame macro="">
      <xdr:nvGraphicFramePr>
        <xdr:cNvPr id="3" name="Chart 2">
          <a:extLst>
            <a:ext uri="{FF2B5EF4-FFF2-40B4-BE49-F238E27FC236}">
              <a16:creationId xmlns:a16="http://schemas.microsoft.com/office/drawing/2014/main" id="{7399B2D2-D20F-46FD-BBB5-FD743F22D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522286</xdr:colOff>
      <xdr:row>26</xdr:row>
      <xdr:rowOff>162492</xdr:rowOff>
    </xdr:from>
    <xdr:to>
      <xdr:col>18</xdr:col>
      <xdr:colOff>575522</xdr:colOff>
      <xdr:row>45</xdr:row>
      <xdr:rowOff>160419</xdr:rowOff>
    </xdr:to>
    <xdr:graphicFrame macro="">
      <xdr:nvGraphicFramePr>
        <xdr:cNvPr id="4" name="Chart 3">
          <a:extLst>
            <a:ext uri="{FF2B5EF4-FFF2-40B4-BE49-F238E27FC236}">
              <a16:creationId xmlns:a16="http://schemas.microsoft.com/office/drawing/2014/main" id="{19AA5F41-E31F-4BF3-8E98-EE2FBA984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101176</xdr:colOff>
      <xdr:row>11</xdr:row>
      <xdr:rowOff>64820</xdr:rowOff>
    </xdr:from>
    <xdr:to>
      <xdr:col>25</xdr:col>
      <xdr:colOff>503722</xdr:colOff>
      <xdr:row>25</xdr:row>
      <xdr:rowOff>154578</xdr:rowOff>
    </xdr:to>
    <xdr:graphicFrame macro="">
      <xdr:nvGraphicFramePr>
        <xdr:cNvPr id="5" name="Chart 4">
          <a:extLst>
            <a:ext uri="{FF2B5EF4-FFF2-40B4-BE49-F238E27FC236}">
              <a16:creationId xmlns:a16="http://schemas.microsoft.com/office/drawing/2014/main" id="{40E5A141-1A9D-4937-92CB-19C8EC287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526471</xdr:colOff>
      <xdr:row>46</xdr:row>
      <xdr:rowOff>160211</xdr:rowOff>
    </xdr:from>
    <xdr:to>
      <xdr:col>25</xdr:col>
      <xdr:colOff>491836</xdr:colOff>
      <xdr:row>62</xdr:row>
      <xdr:rowOff>20776</xdr:rowOff>
    </xdr:to>
    <xdr:graphicFrame macro="">
      <xdr:nvGraphicFramePr>
        <xdr:cNvPr id="6" name="Chart 5">
          <a:extLst>
            <a:ext uri="{FF2B5EF4-FFF2-40B4-BE49-F238E27FC236}">
              <a16:creationId xmlns:a16="http://schemas.microsoft.com/office/drawing/2014/main" id="{BEF7ED66-5633-4EC9-B2AC-823EE1CC2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521890</xdr:colOff>
      <xdr:row>11</xdr:row>
      <xdr:rowOff>44038</xdr:rowOff>
    </xdr:from>
    <xdr:to>
      <xdr:col>18</xdr:col>
      <xdr:colOff>576318</xdr:colOff>
      <xdr:row>25</xdr:row>
      <xdr:rowOff>125681</xdr:rowOff>
    </xdr:to>
    <xdr:graphicFrame macro="">
      <xdr:nvGraphicFramePr>
        <xdr:cNvPr id="7" name="Chart 6">
          <a:extLst>
            <a:ext uri="{FF2B5EF4-FFF2-40B4-BE49-F238E27FC236}">
              <a16:creationId xmlns:a16="http://schemas.microsoft.com/office/drawing/2014/main" id="{338D7D0E-B8CA-44C3-A3E0-634AC9A4B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13855</xdr:colOff>
      <xdr:row>11</xdr:row>
      <xdr:rowOff>44038</xdr:rowOff>
    </xdr:from>
    <xdr:to>
      <xdr:col>11</xdr:col>
      <xdr:colOff>366649</xdr:colOff>
      <xdr:row>62</xdr:row>
      <xdr:rowOff>34636</xdr:rowOff>
    </xdr:to>
    <mc:AlternateContent xmlns:mc="http://schemas.openxmlformats.org/markup-compatibility/2006" xmlns:a14="http://schemas.microsoft.com/office/drawing/2010/main">
      <mc:Choice Requires="a14">
        <xdr:graphicFrame macro="">
          <xdr:nvGraphicFramePr>
            <xdr:cNvPr id="8" name="التاريخ 1">
              <a:extLst>
                <a:ext uri="{FF2B5EF4-FFF2-40B4-BE49-F238E27FC236}">
                  <a16:creationId xmlns:a16="http://schemas.microsoft.com/office/drawing/2014/main" id="{98D280EF-45BC-4461-914D-5B2F09CCE200}"/>
                </a:ext>
              </a:extLst>
            </xdr:cNvPr>
            <xdr:cNvGraphicFramePr/>
          </xdr:nvGraphicFramePr>
          <xdr:xfrm>
            <a:off x="0" y="0"/>
            <a:ext cx="0" cy="0"/>
          </xdr:xfrm>
          <a:graphic>
            <a:graphicData uri="http://schemas.microsoft.com/office/drawing/2010/slicer">
              <sle:slicer xmlns:sle="http://schemas.microsoft.com/office/drawing/2010/slicer" name="التاريخ 1"/>
            </a:graphicData>
          </a:graphic>
        </xdr:graphicFrame>
      </mc:Choice>
      <mc:Fallback xmlns="">
        <xdr:sp macro="" textlink="">
          <xdr:nvSpPr>
            <xdr:cNvPr id="0" name=""/>
            <xdr:cNvSpPr>
              <a:spLocks noTextEdit="1"/>
            </xdr:cNvSpPr>
          </xdr:nvSpPr>
          <xdr:spPr>
            <a:xfrm>
              <a:off x="10448472626" y="2034763"/>
              <a:ext cx="2267319" cy="9220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630877</xdr:colOff>
      <xdr:row>0</xdr:row>
      <xdr:rowOff>61355</xdr:rowOff>
    </xdr:from>
    <xdr:to>
      <xdr:col>30</xdr:col>
      <xdr:colOff>332509</xdr:colOff>
      <xdr:row>5</xdr:row>
      <xdr:rowOff>50469</xdr:rowOff>
    </xdr:to>
    <xdr:sp macro="" textlink="">
      <xdr:nvSpPr>
        <xdr:cNvPr id="10" name="Rectangle: Rounded Corners 9">
          <a:extLst>
            <a:ext uri="{FF2B5EF4-FFF2-40B4-BE49-F238E27FC236}">
              <a16:creationId xmlns:a16="http://schemas.microsoft.com/office/drawing/2014/main" id="{0F671D27-18B8-4E28-8E25-1BA662AF4299}"/>
            </a:ext>
          </a:extLst>
        </xdr:cNvPr>
        <xdr:cNvSpPr/>
      </xdr:nvSpPr>
      <xdr:spPr>
        <a:xfrm>
          <a:off x="10422220363" y="61355"/>
          <a:ext cx="14359741" cy="889659"/>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3600">
              <a:solidFill>
                <a:srgbClr val="14213D"/>
              </a:solidFill>
            </a:rPr>
            <a:t>متـــابعة</a:t>
          </a:r>
          <a:r>
            <a:rPr lang="ar-EG" sz="3600" baseline="0">
              <a:solidFill>
                <a:srgbClr val="14213D"/>
              </a:solidFill>
            </a:rPr>
            <a:t> طلبـــات العمــلاء</a:t>
          </a:r>
          <a:endParaRPr lang="en-US" sz="3600">
            <a:solidFill>
              <a:srgbClr val="14213D"/>
            </a:solidFill>
          </a:endParaRPr>
        </a:p>
      </xdr:txBody>
    </xdr:sp>
    <xdr:clientData/>
  </xdr:twoCellAnchor>
  <xdr:twoCellAnchor>
    <xdr:from>
      <xdr:col>11</xdr:col>
      <xdr:colOff>415221</xdr:colOff>
      <xdr:row>5</xdr:row>
      <xdr:rowOff>175217</xdr:rowOff>
    </xdr:from>
    <xdr:to>
      <xdr:col>15</xdr:col>
      <xdr:colOff>52232</xdr:colOff>
      <xdr:row>10</xdr:row>
      <xdr:rowOff>79746</xdr:rowOff>
    </xdr:to>
    <xdr:grpSp>
      <xdr:nvGrpSpPr>
        <xdr:cNvPr id="13" name="Group 12">
          <a:extLst>
            <a:ext uri="{FF2B5EF4-FFF2-40B4-BE49-F238E27FC236}">
              <a16:creationId xmlns:a16="http://schemas.microsoft.com/office/drawing/2014/main" id="{B71AF34A-D4EC-4BE7-B8E8-CD6F14803059}"/>
            </a:ext>
          </a:extLst>
        </xdr:cNvPr>
        <xdr:cNvGrpSpPr/>
      </xdr:nvGrpSpPr>
      <xdr:grpSpPr>
        <a:xfrm>
          <a:off x="10477417288" y="1089617"/>
          <a:ext cx="2197331" cy="818929"/>
          <a:chOff x="10475354970" y="177511"/>
          <a:chExt cx="2194560" cy="794039"/>
        </a:xfrm>
        <a:effectLst>
          <a:outerShdw blurRad="50800" dist="38100" dir="8100000" algn="tr" rotWithShape="0">
            <a:prstClr val="black">
              <a:alpha val="40000"/>
            </a:prstClr>
          </a:outerShdw>
        </a:effectLst>
      </xdr:grpSpPr>
      <xdr:grpSp>
        <xdr:nvGrpSpPr>
          <xdr:cNvPr id="14" name="Group 13">
            <a:extLst>
              <a:ext uri="{FF2B5EF4-FFF2-40B4-BE49-F238E27FC236}">
                <a16:creationId xmlns:a16="http://schemas.microsoft.com/office/drawing/2014/main" id="{261FF737-414B-0530-0DEE-0C842DC2F469}"/>
              </a:ext>
            </a:extLst>
          </xdr:cNvPr>
          <xdr:cNvGrpSpPr/>
        </xdr:nvGrpSpPr>
        <xdr:grpSpPr>
          <a:xfrm>
            <a:off x="10475354970" y="182880"/>
            <a:ext cx="2076450" cy="788670"/>
            <a:chOff x="10475354970" y="182880"/>
            <a:chExt cx="2076450" cy="788670"/>
          </a:xfrm>
        </xdr:grpSpPr>
        <xdr:sp macro="" textlink="">
          <xdr:nvSpPr>
            <xdr:cNvPr id="16" name="Rectangle: Rounded Corners 15">
              <a:extLst>
                <a:ext uri="{FF2B5EF4-FFF2-40B4-BE49-F238E27FC236}">
                  <a16:creationId xmlns:a16="http://schemas.microsoft.com/office/drawing/2014/main" id="{ED497CBC-686F-BF2C-4DBA-920850D43D6C}"/>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M$4">
          <xdr:nvSpPr>
            <xdr:cNvPr id="17" name="Rectangle: Rounded Corners 16">
              <a:extLst>
                <a:ext uri="{FF2B5EF4-FFF2-40B4-BE49-F238E27FC236}">
                  <a16:creationId xmlns:a16="http://schemas.microsoft.com/office/drawing/2014/main" id="{8A2FF728-0655-E14F-C958-70B1A4D0E072}"/>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FF4D5A2C-9804-42BD-BE2F-F004ADE39E5C}" type="TxLink">
                <a:rPr lang="en-US" sz="2400" b="1" i="0" u="none" strike="noStrike">
                  <a:solidFill>
                    <a:srgbClr val="000000"/>
                  </a:solidFill>
                  <a:latin typeface="Calibri"/>
                  <a:cs typeface="Calibri"/>
                </a:rPr>
                <a:pPr algn="ctr" rtl="1"/>
                <a:t>65%</a:t>
              </a:fld>
              <a:endParaRPr lang="en-US" sz="2400" b="1">
                <a:solidFill>
                  <a:srgbClr val="002060"/>
                </a:solidFill>
                <a:latin typeface="+mn-lt"/>
              </a:endParaRPr>
            </a:p>
          </xdr:txBody>
        </xdr:sp>
      </xdr:grpSp>
      <xdr:sp macro="" textlink="">
        <xdr:nvSpPr>
          <xdr:cNvPr id="15" name="Rectangle: Rounded Corners 14">
            <a:extLst>
              <a:ext uri="{FF2B5EF4-FFF2-40B4-BE49-F238E27FC236}">
                <a16:creationId xmlns:a16="http://schemas.microsoft.com/office/drawing/2014/main" id="{E7AF4F19-2332-E98C-5F21-A9A8301CAE44}"/>
              </a:ext>
            </a:extLst>
          </xdr:cNvPr>
          <xdr:cNvSpPr/>
        </xdr:nvSpPr>
        <xdr:spPr>
          <a:xfrm>
            <a:off x="10475526420" y="17751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نسبة الإستجابة</a:t>
            </a:r>
            <a:endParaRPr lang="en-US" sz="2000" b="1">
              <a:latin typeface="+mj-lt"/>
              <a:cs typeface="+mn-cs"/>
            </a:endParaRPr>
          </a:p>
        </xdr:txBody>
      </xdr:sp>
    </xdr:grpSp>
    <xdr:clientData/>
  </xdr:twoCellAnchor>
  <xdr:twoCellAnchor>
    <xdr:from>
      <xdr:col>15</xdr:col>
      <xdr:colOff>316933</xdr:colOff>
      <xdr:row>5</xdr:row>
      <xdr:rowOff>168663</xdr:rowOff>
    </xdr:from>
    <xdr:to>
      <xdr:col>18</xdr:col>
      <xdr:colOff>585810</xdr:colOff>
      <xdr:row>10</xdr:row>
      <xdr:rowOff>73256</xdr:rowOff>
    </xdr:to>
    <xdr:grpSp>
      <xdr:nvGrpSpPr>
        <xdr:cNvPr id="18" name="Group 17">
          <a:extLst>
            <a:ext uri="{FF2B5EF4-FFF2-40B4-BE49-F238E27FC236}">
              <a16:creationId xmlns:a16="http://schemas.microsoft.com/office/drawing/2014/main" id="{D96A0303-8D71-4E5E-8961-5C57074965B4}"/>
            </a:ext>
          </a:extLst>
        </xdr:cNvPr>
        <xdr:cNvGrpSpPr/>
      </xdr:nvGrpSpPr>
      <xdr:grpSpPr>
        <a:xfrm>
          <a:off x="10474963470" y="1083063"/>
          <a:ext cx="2189117" cy="818993"/>
          <a:chOff x="10475354970" y="182880"/>
          <a:chExt cx="2189134" cy="788670"/>
        </a:xfrm>
        <a:effectLst>
          <a:outerShdw blurRad="50800" dist="38100" dir="8100000" algn="tr" rotWithShape="0">
            <a:prstClr val="black">
              <a:alpha val="40000"/>
            </a:prstClr>
          </a:outerShdw>
        </a:effectLst>
      </xdr:grpSpPr>
      <xdr:grpSp>
        <xdr:nvGrpSpPr>
          <xdr:cNvPr id="19" name="Group 18">
            <a:extLst>
              <a:ext uri="{FF2B5EF4-FFF2-40B4-BE49-F238E27FC236}">
                <a16:creationId xmlns:a16="http://schemas.microsoft.com/office/drawing/2014/main" id="{2B2A78E8-F1F4-AE20-5AA1-D7036959A4B4}"/>
              </a:ext>
            </a:extLst>
          </xdr:cNvPr>
          <xdr:cNvGrpSpPr/>
        </xdr:nvGrpSpPr>
        <xdr:grpSpPr>
          <a:xfrm>
            <a:off x="10475354970" y="182880"/>
            <a:ext cx="2076450" cy="788670"/>
            <a:chOff x="10475354970" y="182880"/>
            <a:chExt cx="2076450" cy="788670"/>
          </a:xfrm>
        </xdr:grpSpPr>
        <xdr:sp macro="" textlink="">
          <xdr:nvSpPr>
            <xdr:cNvPr id="21" name="Rectangle: Rounded Corners 20">
              <a:extLst>
                <a:ext uri="{FF2B5EF4-FFF2-40B4-BE49-F238E27FC236}">
                  <a16:creationId xmlns:a16="http://schemas.microsoft.com/office/drawing/2014/main" id="{A89E9F54-D4FD-FD75-33B4-B52085123209}"/>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J$4">
          <xdr:nvSpPr>
            <xdr:cNvPr id="22" name="Rectangle: Rounded Corners 21">
              <a:extLst>
                <a:ext uri="{FF2B5EF4-FFF2-40B4-BE49-F238E27FC236}">
                  <a16:creationId xmlns:a16="http://schemas.microsoft.com/office/drawing/2014/main" id="{ECAEA5C9-4934-30FB-D9EA-1239B9E1F4D6}"/>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4D09C6BD-46D4-4C4F-BCAD-04C78B39BC90}" type="TxLink">
                <a:rPr lang="en-US" sz="2400" b="1" i="0" u="none" strike="noStrike">
                  <a:solidFill>
                    <a:srgbClr val="000000"/>
                  </a:solidFill>
                  <a:latin typeface="Calibri"/>
                  <a:cs typeface="Calibri"/>
                </a:rPr>
                <a:pPr algn="ctr" rtl="1"/>
                <a:t>26</a:t>
              </a:fld>
              <a:endParaRPr lang="en-US" sz="2400" b="1">
                <a:solidFill>
                  <a:srgbClr val="002060"/>
                </a:solidFill>
                <a:latin typeface="+mn-lt"/>
              </a:endParaRPr>
            </a:p>
          </xdr:txBody>
        </xdr:sp>
      </xdr:grpSp>
      <xdr:sp macro="" textlink="">
        <xdr:nvSpPr>
          <xdr:cNvPr id="20" name="Rectangle: Rounded Corners 19">
            <a:extLst>
              <a:ext uri="{FF2B5EF4-FFF2-40B4-BE49-F238E27FC236}">
                <a16:creationId xmlns:a16="http://schemas.microsoft.com/office/drawing/2014/main" id="{0C5A9F85-8B3B-84C4-EF13-F8D57282B8C0}"/>
              </a:ext>
            </a:extLst>
          </xdr:cNvPr>
          <xdr:cNvSpPr/>
        </xdr:nvSpPr>
        <xdr:spPr>
          <a:xfrm>
            <a:off x="10475520994" y="1894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عدد</a:t>
            </a:r>
            <a:r>
              <a:rPr lang="ar-EG" sz="2000" b="1" baseline="0">
                <a:latin typeface="+mj-lt"/>
                <a:cs typeface="+mn-cs"/>
              </a:rPr>
              <a:t> الإستجابة</a:t>
            </a:r>
            <a:endParaRPr lang="en-US" sz="2000" b="1">
              <a:latin typeface="+mj-lt"/>
              <a:cs typeface="+mn-cs"/>
            </a:endParaRPr>
          </a:p>
        </xdr:txBody>
      </xdr:sp>
    </xdr:grpSp>
    <xdr:clientData/>
  </xdr:twoCellAnchor>
  <xdr:twoCellAnchor>
    <xdr:from>
      <xdr:col>7</xdr:col>
      <xdr:colOff>529344</xdr:colOff>
      <xdr:row>5</xdr:row>
      <xdr:rowOff>167608</xdr:rowOff>
    </xdr:from>
    <xdr:to>
      <xdr:col>11</xdr:col>
      <xdr:colOff>150521</xdr:colOff>
      <xdr:row>10</xdr:row>
      <xdr:rowOff>84593</xdr:rowOff>
    </xdr:to>
    <xdr:grpSp>
      <xdr:nvGrpSpPr>
        <xdr:cNvPr id="23" name="Group 22">
          <a:extLst>
            <a:ext uri="{FF2B5EF4-FFF2-40B4-BE49-F238E27FC236}">
              <a16:creationId xmlns:a16="http://schemas.microsoft.com/office/drawing/2014/main" id="{36680A02-0E1D-45D9-840B-292352D615A9}"/>
            </a:ext>
          </a:extLst>
        </xdr:cNvPr>
        <xdr:cNvGrpSpPr/>
      </xdr:nvGrpSpPr>
      <xdr:grpSpPr>
        <a:xfrm>
          <a:off x="10479879319" y="1082008"/>
          <a:ext cx="2181497" cy="831385"/>
          <a:chOff x="10475354970" y="165561"/>
          <a:chExt cx="2183706" cy="805989"/>
        </a:xfrm>
        <a:effectLst>
          <a:outerShdw blurRad="50800" dist="38100" dir="8100000" algn="tr" rotWithShape="0">
            <a:prstClr val="black">
              <a:alpha val="40000"/>
            </a:prstClr>
          </a:outerShdw>
        </a:effectLst>
      </xdr:grpSpPr>
      <xdr:grpSp>
        <xdr:nvGrpSpPr>
          <xdr:cNvPr id="24" name="Group 23">
            <a:extLst>
              <a:ext uri="{FF2B5EF4-FFF2-40B4-BE49-F238E27FC236}">
                <a16:creationId xmlns:a16="http://schemas.microsoft.com/office/drawing/2014/main" id="{40946503-36EC-D3E1-8049-187FCCB629B1}"/>
              </a:ext>
            </a:extLst>
          </xdr:cNvPr>
          <xdr:cNvGrpSpPr/>
        </xdr:nvGrpSpPr>
        <xdr:grpSpPr>
          <a:xfrm>
            <a:off x="10475354970" y="182880"/>
            <a:ext cx="2076450" cy="788670"/>
            <a:chOff x="10475354970" y="182880"/>
            <a:chExt cx="2076450" cy="788670"/>
          </a:xfrm>
        </xdr:grpSpPr>
        <xdr:sp macro="" textlink="">
          <xdr:nvSpPr>
            <xdr:cNvPr id="26" name="Rectangle: Rounded Corners 25">
              <a:extLst>
                <a:ext uri="{FF2B5EF4-FFF2-40B4-BE49-F238E27FC236}">
                  <a16:creationId xmlns:a16="http://schemas.microsoft.com/office/drawing/2014/main" id="{0214E97E-ABFA-8625-6E03-72F3C5063A3F}"/>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G16">
          <xdr:nvSpPr>
            <xdr:cNvPr id="27" name="Rectangle: Rounded Corners 26">
              <a:extLst>
                <a:ext uri="{FF2B5EF4-FFF2-40B4-BE49-F238E27FC236}">
                  <a16:creationId xmlns:a16="http://schemas.microsoft.com/office/drawing/2014/main" id="{EEAE09D1-8D6B-7920-C007-A951CE950B3F}"/>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AA0C126B-B04B-4802-86EB-ADA93B53573D}" type="TxLink">
                <a:rPr lang="en-US" sz="2400" b="1" i="0" u="none" strike="noStrike">
                  <a:solidFill>
                    <a:srgbClr val="14213D"/>
                  </a:solidFill>
                  <a:latin typeface="Calibri"/>
                  <a:cs typeface="Calibri"/>
                </a:rPr>
                <a:t>40</a:t>
              </a:fld>
              <a:endParaRPr lang="en-US" sz="2400" b="1">
                <a:solidFill>
                  <a:srgbClr val="002060"/>
                </a:solidFill>
                <a:latin typeface="+mn-lt"/>
              </a:endParaRPr>
            </a:p>
          </xdr:txBody>
        </xdr:sp>
      </xdr:grpSp>
      <xdr:sp macro="" textlink="">
        <xdr:nvSpPr>
          <xdr:cNvPr id="25" name="Rectangle: Rounded Corners 24">
            <a:extLst>
              <a:ext uri="{FF2B5EF4-FFF2-40B4-BE49-F238E27FC236}">
                <a16:creationId xmlns:a16="http://schemas.microsoft.com/office/drawing/2014/main" id="{E2A701B3-CBE0-C670-5E9A-B00A15147D65}"/>
              </a:ext>
            </a:extLst>
          </xdr:cNvPr>
          <xdr:cNvSpPr/>
        </xdr:nvSpPr>
        <xdr:spPr>
          <a:xfrm>
            <a:off x="10475515566" y="1655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عدد العملاء</a:t>
            </a:r>
            <a:endParaRPr lang="en-US" sz="2000" b="1">
              <a:latin typeface="+mj-lt"/>
              <a:cs typeface="+mn-cs"/>
            </a:endParaRPr>
          </a:p>
        </xdr:txBody>
      </xdr:sp>
    </xdr:grpSp>
    <xdr:clientData/>
  </xdr:twoCellAnchor>
  <xdr:twoCellAnchor>
    <xdr:from>
      <xdr:col>19</xdr:col>
      <xdr:colOff>213202</xdr:colOff>
      <xdr:row>5</xdr:row>
      <xdr:rowOff>165443</xdr:rowOff>
    </xdr:from>
    <xdr:to>
      <xdr:col>22</xdr:col>
      <xdr:colOff>482572</xdr:colOff>
      <xdr:row>10</xdr:row>
      <xdr:rowOff>76200</xdr:rowOff>
    </xdr:to>
    <xdr:grpSp>
      <xdr:nvGrpSpPr>
        <xdr:cNvPr id="28" name="Group 27">
          <a:extLst>
            <a:ext uri="{FF2B5EF4-FFF2-40B4-BE49-F238E27FC236}">
              <a16:creationId xmlns:a16="http://schemas.microsoft.com/office/drawing/2014/main" id="{6536773F-6249-44E3-BE2C-B7429B9EA9B2}"/>
            </a:ext>
          </a:extLst>
        </xdr:cNvPr>
        <xdr:cNvGrpSpPr/>
      </xdr:nvGrpSpPr>
      <xdr:grpSpPr>
        <a:xfrm>
          <a:off x="10472506388" y="1079843"/>
          <a:ext cx="2189610" cy="825157"/>
          <a:chOff x="10475354970" y="171536"/>
          <a:chExt cx="2194560" cy="800014"/>
        </a:xfrm>
        <a:effectLst>
          <a:outerShdw blurRad="50800" dist="38100" dir="8100000" algn="tr" rotWithShape="0">
            <a:prstClr val="black">
              <a:alpha val="40000"/>
            </a:prstClr>
          </a:outerShdw>
        </a:effectLst>
      </xdr:grpSpPr>
      <xdr:grpSp>
        <xdr:nvGrpSpPr>
          <xdr:cNvPr id="29" name="Group 28">
            <a:extLst>
              <a:ext uri="{FF2B5EF4-FFF2-40B4-BE49-F238E27FC236}">
                <a16:creationId xmlns:a16="http://schemas.microsoft.com/office/drawing/2014/main" id="{FFBF2609-E78A-2D81-796A-AC650B4446F5}"/>
              </a:ext>
            </a:extLst>
          </xdr:cNvPr>
          <xdr:cNvGrpSpPr/>
        </xdr:nvGrpSpPr>
        <xdr:grpSpPr>
          <a:xfrm>
            <a:off x="10475354970" y="182880"/>
            <a:ext cx="2076450" cy="788670"/>
            <a:chOff x="10475354970" y="182880"/>
            <a:chExt cx="2076450" cy="788670"/>
          </a:xfrm>
        </xdr:grpSpPr>
        <xdr:sp macro="" textlink="">
          <xdr:nvSpPr>
            <xdr:cNvPr id="31" name="Rectangle: Rounded Corners 30">
              <a:extLst>
                <a:ext uri="{FF2B5EF4-FFF2-40B4-BE49-F238E27FC236}">
                  <a16:creationId xmlns:a16="http://schemas.microsoft.com/office/drawing/2014/main" id="{BFD75950-9AAB-696B-D55C-158AC9B39A99}"/>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S$8">
          <xdr:nvSpPr>
            <xdr:cNvPr id="32" name="Rectangle: Rounded Corners 31">
              <a:extLst>
                <a:ext uri="{FF2B5EF4-FFF2-40B4-BE49-F238E27FC236}">
                  <a16:creationId xmlns:a16="http://schemas.microsoft.com/office/drawing/2014/main" id="{10D625C6-D480-5970-60BD-453B665CBB8A}"/>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66F1845C-1A0A-43EF-AD25-09EBE1AC862D}" type="TxLink">
                <a:rPr lang="en-US" sz="2400" b="1" i="0" u="none" strike="noStrike">
                  <a:solidFill>
                    <a:srgbClr val="000000"/>
                  </a:solidFill>
                  <a:latin typeface="Calibri"/>
                  <a:cs typeface="Calibri"/>
                </a:rPr>
                <a:pPr algn="ctr" rtl="1"/>
                <a:t>40%</a:t>
              </a:fld>
              <a:endParaRPr lang="en-US" sz="2400" b="1">
                <a:solidFill>
                  <a:srgbClr val="002060"/>
                </a:solidFill>
                <a:latin typeface="+mn-lt"/>
              </a:endParaRPr>
            </a:p>
          </xdr:txBody>
        </xdr:sp>
      </xdr:grpSp>
      <xdr:sp macro="" textlink="">
        <xdr:nvSpPr>
          <xdr:cNvPr id="30" name="Rectangle: Rounded Corners 29">
            <a:extLst>
              <a:ext uri="{FF2B5EF4-FFF2-40B4-BE49-F238E27FC236}">
                <a16:creationId xmlns:a16="http://schemas.microsoft.com/office/drawing/2014/main" id="{03DD766B-9899-161B-2456-6F7DA6AA6ABE}"/>
              </a:ext>
            </a:extLst>
          </xdr:cNvPr>
          <xdr:cNvSpPr/>
        </xdr:nvSpPr>
        <xdr:spPr>
          <a:xfrm>
            <a:off x="10475526420" y="171536"/>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نسبة الإغلاق</a:t>
            </a:r>
            <a:endParaRPr lang="en-US" sz="2000" b="1">
              <a:latin typeface="+mj-lt"/>
              <a:cs typeface="+mn-cs"/>
            </a:endParaRPr>
          </a:p>
        </xdr:txBody>
      </xdr:sp>
    </xdr:grpSp>
    <xdr:clientData/>
  </xdr:twoCellAnchor>
  <xdr:twoCellAnchor>
    <xdr:from>
      <xdr:col>26</xdr:col>
      <xdr:colOff>633152</xdr:colOff>
      <xdr:row>5</xdr:row>
      <xdr:rowOff>171940</xdr:rowOff>
    </xdr:from>
    <xdr:to>
      <xdr:col>30</xdr:col>
      <xdr:colOff>265214</xdr:colOff>
      <xdr:row>10</xdr:row>
      <xdr:rowOff>76469</xdr:rowOff>
    </xdr:to>
    <xdr:grpSp>
      <xdr:nvGrpSpPr>
        <xdr:cNvPr id="33" name="Group 32">
          <a:extLst>
            <a:ext uri="{FF2B5EF4-FFF2-40B4-BE49-F238E27FC236}">
              <a16:creationId xmlns:a16="http://schemas.microsoft.com/office/drawing/2014/main" id="{F1B9CF89-1194-468B-B7B6-6581C7214E96}"/>
            </a:ext>
          </a:extLst>
        </xdr:cNvPr>
        <xdr:cNvGrpSpPr/>
      </xdr:nvGrpSpPr>
      <xdr:grpSpPr>
        <a:xfrm>
          <a:off x="10467603106" y="1086340"/>
          <a:ext cx="2192382" cy="818929"/>
          <a:chOff x="10475354970" y="177511"/>
          <a:chExt cx="2194560" cy="794039"/>
        </a:xfrm>
        <a:effectLst>
          <a:outerShdw blurRad="50800" dist="38100" dir="8100000" algn="tr" rotWithShape="0">
            <a:prstClr val="black">
              <a:alpha val="40000"/>
            </a:prstClr>
          </a:outerShdw>
        </a:effectLst>
      </xdr:grpSpPr>
      <xdr:grpSp>
        <xdr:nvGrpSpPr>
          <xdr:cNvPr id="34" name="Group 33">
            <a:extLst>
              <a:ext uri="{FF2B5EF4-FFF2-40B4-BE49-F238E27FC236}">
                <a16:creationId xmlns:a16="http://schemas.microsoft.com/office/drawing/2014/main" id="{44834625-F741-813E-C692-7BC307B545CD}"/>
              </a:ext>
            </a:extLst>
          </xdr:cNvPr>
          <xdr:cNvGrpSpPr/>
        </xdr:nvGrpSpPr>
        <xdr:grpSpPr>
          <a:xfrm>
            <a:off x="10475354970" y="182880"/>
            <a:ext cx="2076450" cy="788670"/>
            <a:chOff x="10475354970" y="182880"/>
            <a:chExt cx="2076450" cy="788670"/>
          </a:xfrm>
        </xdr:grpSpPr>
        <xdr:sp macro="" textlink="">
          <xdr:nvSpPr>
            <xdr:cNvPr id="36" name="Rectangle: Rounded Corners 35">
              <a:extLst>
                <a:ext uri="{FF2B5EF4-FFF2-40B4-BE49-F238E27FC236}">
                  <a16:creationId xmlns:a16="http://schemas.microsoft.com/office/drawing/2014/main" id="{EB3CE306-9524-01F7-EF64-F810ECCD7921}"/>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J$19">
          <xdr:nvSpPr>
            <xdr:cNvPr id="37" name="Rectangle: Rounded Corners 36">
              <a:extLst>
                <a:ext uri="{FF2B5EF4-FFF2-40B4-BE49-F238E27FC236}">
                  <a16:creationId xmlns:a16="http://schemas.microsoft.com/office/drawing/2014/main" id="{71FB03BD-B725-3394-3E83-9568E426F02C}"/>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716DE751-C39E-4BB3-B7F9-8DB4FAF28A82}" type="TxLink">
                <a:rPr lang="en-US" sz="2400" b="1" i="0" u="none" strike="noStrike">
                  <a:solidFill>
                    <a:srgbClr val="000000"/>
                  </a:solidFill>
                  <a:latin typeface="Calibri"/>
                  <a:cs typeface="Calibri"/>
                </a:rPr>
                <a:pPr algn="ctr" rtl="1"/>
                <a:t>0:09:23</a:t>
              </a:fld>
              <a:endParaRPr lang="en-US" sz="2400" b="1">
                <a:solidFill>
                  <a:srgbClr val="002060"/>
                </a:solidFill>
                <a:latin typeface="+mn-lt"/>
              </a:endParaRPr>
            </a:p>
          </xdr:txBody>
        </xdr:sp>
      </xdr:grpSp>
      <xdr:sp macro="" textlink="">
        <xdr:nvSpPr>
          <xdr:cNvPr id="35" name="Rectangle: Rounded Corners 34">
            <a:extLst>
              <a:ext uri="{FF2B5EF4-FFF2-40B4-BE49-F238E27FC236}">
                <a16:creationId xmlns:a16="http://schemas.microsoft.com/office/drawing/2014/main" id="{12ACEA7B-828A-495A-30A0-346B43D29992}"/>
              </a:ext>
            </a:extLst>
          </xdr:cNvPr>
          <xdr:cNvSpPr/>
        </xdr:nvSpPr>
        <xdr:spPr>
          <a:xfrm>
            <a:off x="10475526420" y="17751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متوسط مدة المكالمة</a:t>
            </a:r>
            <a:endParaRPr lang="en-US" sz="2000" b="1">
              <a:latin typeface="+mj-lt"/>
              <a:cs typeface="+mn-cs"/>
            </a:endParaRPr>
          </a:p>
        </xdr:txBody>
      </xdr:sp>
    </xdr:grpSp>
    <xdr:clientData/>
  </xdr:twoCellAnchor>
  <xdr:twoCellAnchor>
    <xdr:from>
      <xdr:col>23</xdr:col>
      <xdr:colOff>109964</xdr:colOff>
      <xdr:row>5</xdr:row>
      <xdr:rowOff>175217</xdr:rowOff>
    </xdr:from>
    <xdr:to>
      <xdr:col>26</xdr:col>
      <xdr:colOff>368451</xdr:colOff>
      <xdr:row>10</xdr:row>
      <xdr:rowOff>92202</xdr:rowOff>
    </xdr:to>
    <xdr:grpSp>
      <xdr:nvGrpSpPr>
        <xdr:cNvPr id="40" name="Group 39">
          <a:extLst>
            <a:ext uri="{FF2B5EF4-FFF2-40B4-BE49-F238E27FC236}">
              <a16:creationId xmlns:a16="http://schemas.microsoft.com/office/drawing/2014/main" id="{D23F0A22-20D1-48F1-8FD5-346DDF312168}"/>
            </a:ext>
          </a:extLst>
        </xdr:cNvPr>
        <xdr:cNvGrpSpPr/>
      </xdr:nvGrpSpPr>
      <xdr:grpSpPr>
        <a:xfrm>
          <a:off x="10470060189" y="1089617"/>
          <a:ext cx="2178727" cy="831385"/>
          <a:chOff x="10475354970" y="165561"/>
          <a:chExt cx="2183706" cy="805989"/>
        </a:xfrm>
        <a:effectLst>
          <a:outerShdw blurRad="50800" dist="38100" dir="8100000" algn="tr" rotWithShape="0">
            <a:prstClr val="black">
              <a:alpha val="40000"/>
            </a:prstClr>
          </a:outerShdw>
        </a:effectLst>
      </xdr:grpSpPr>
      <xdr:grpSp>
        <xdr:nvGrpSpPr>
          <xdr:cNvPr id="41" name="Group 40">
            <a:extLst>
              <a:ext uri="{FF2B5EF4-FFF2-40B4-BE49-F238E27FC236}">
                <a16:creationId xmlns:a16="http://schemas.microsoft.com/office/drawing/2014/main" id="{EAA7C5A8-9331-292B-82E8-64BAF7EAD867}"/>
              </a:ext>
            </a:extLst>
          </xdr:cNvPr>
          <xdr:cNvGrpSpPr/>
        </xdr:nvGrpSpPr>
        <xdr:grpSpPr>
          <a:xfrm>
            <a:off x="10475354970" y="182880"/>
            <a:ext cx="2076450" cy="788670"/>
            <a:chOff x="10475354970" y="182880"/>
            <a:chExt cx="2076450" cy="788670"/>
          </a:xfrm>
        </xdr:grpSpPr>
        <xdr:sp macro="" textlink="">
          <xdr:nvSpPr>
            <xdr:cNvPr id="43" name="Rectangle: Rounded Corners 42">
              <a:extLst>
                <a:ext uri="{FF2B5EF4-FFF2-40B4-BE49-F238E27FC236}">
                  <a16:creationId xmlns:a16="http://schemas.microsoft.com/office/drawing/2014/main" id="{3CCB1C40-92BC-A7B9-7A44-2E2B3A8D9BEC}"/>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P8">
          <xdr:nvSpPr>
            <xdr:cNvPr id="44" name="Rectangle: Rounded Corners 43">
              <a:extLst>
                <a:ext uri="{FF2B5EF4-FFF2-40B4-BE49-F238E27FC236}">
                  <a16:creationId xmlns:a16="http://schemas.microsoft.com/office/drawing/2014/main" id="{5D0D672D-D56E-B5CA-4FB3-FACE8E25DCCB}"/>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BEDF6CD7-0523-49F0-8575-C867F282280D}" type="TxLink">
                <a:rPr lang="en-US" sz="2400" b="1" i="0" u="none" strike="noStrike">
                  <a:solidFill>
                    <a:srgbClr val="14213D"/>
                  </a:solidFill>
                  <a:latin typeface="Calibri"/>
                  <a:cs typeface="Calibri"/>
                </a:rPr>
                <a:pPr algn="ctr" rtl="1"/>
                <a:t>16</a:t>
              </a:fld>
              <a:endParaRPr lang="en-US" sz="2400" b="1">
                <a:solidFill>
                  <a:srgbClr val="14213D"/>
                </a:solidFill>
                <a:latin typeface="+mn-lt"/>
              </a:endParaRPr>
            </a:p>
          </xdr:txBody>
        </xdr:sp>
      </xdr:grpSp>
      <xdr:sp macro="" textlink="">
        <xdr:nvSpPr>
          <xdr:cNvPr id="42" name="Rectangle: Rounded Corners 41">
            <a:extLst>
              <a:ext uri="{FF2B5EF4-FFF2-40B4-BE49-F238E27FC236}">
                <a16:creationId xmlns:a16="http://schemas.microsoft.com/office/drawing/2014/main" id="{443E99A4-65D0-2CCC-4E64-043E6B5EA06E}"/>
              </a:ext>
            </a:extLst>
          </xdr:cNvPr>
          <xdr:cNvSpPr/>
        </xdr:nvSpPr>
        <xdr:spPr>
          <a:xfrm>
            <a:off x="10475515566" y="1655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a:latin typeface="+mj-lt"/>
                <a:cs typeface="+mn-cs"/>
              </a:rPr>
              <a:t>عدد الإغلاق</a:t>
            </a:r>
            <a:endParaRPr lang="en-US" sz="2000" b="1">
              <a:latin typeface="+mj-lt"/>
              <a:cs typeface="+mn-cs"/>
            </a:endParaRPr>
          </a:p>
        </xdr:txBody>
      </xdr:sp>
    </xdr:grpSp>
    <xdr:clientData/>
  </xdr:twoCellAnchor>
  <xdr:twoCellAnchor editAs="oneCell">
    <xdr:from>
      <xdr:col>26</xdr:col>
      <xdr:colOff>27709</xdr:colOff>
      <xdr:row>11</xdr:row>
      <xdr:rowOff>103910</xdr:rowOff>
    </xdr:from>
    <xdr:to>
      <xdr:col>30</xdr:col>
      <xdr:colOff>290945</xdr:colOff>
      <xdr:row>22</xdr:row>
      <xdr:rowOff>113434</xdr:rowOff>
    </xdr:to>
    <mc:AlternateContent xmlns:mc="http://schemas.openxmlformats.org/markup-compatibility/2006">
      <mc:Choice xmlns:a14="http://schemas.microsoft.com/office/drawing/2010/main" Requires="a14">
        <xdr:graphicFrame macro="">
          <xdr:nvGraphicFramePr>
            <xdr:cNvPr id="9" name="مصدر العميل">
              <a:extLst>
                <a:ext uri="{FF2B5EF4-FFF2-40B4-BE49-F238E27FC236}">
                  <a16:creationId xmlns:a16="http://schemas.microsoft.com/office/drawing/2014/main" id="{E501C153-0EFB-4A5F-A5EB-74D4D7CD0410}"/>
                </a:ext>
              </a:extLst>
            </xdr:cNvPr>
            <xdr:cNvGraphicFramePr/>
          </xdr:nvGraphicFramePr>
          <xdr:xfrm>
            <a:off x="0" y="0"/>
            <a:ext cx="0" cy="0"/>
          </xdr:xfrm>
          <a:graphic>
            <a:graphicData uri="http://schemas.microsoft.com/office/drawing/2010/slicer">
              <sle:slicer xmlns:sle="http://schemas.microsoft.com/office/drawing/2010/slicer" name="مصدر العميل"/>
            </a:graphicData>
          </a:graphic>
        </xdr:graphicFrame>
      </mc:Choice>
      <mc:Fallback>
        <xdr:sp macro="" textlink="">
          <xdr:nvSpPr>
            <xdr:cNvPr id="0" name=""/>
            <xdr:cNvSpPr>
              <a:spLocks noTextEdit="1"/>
            </xdr:cNvSpPr>
          </xdr:nvSpPr>
          <xdr:spPr>
            <a:xfrm>
              <a:off x="10422261928" y="2085110"/>
              <a:ext cx="2812472" cy="1990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21654</xdr:colOff>
      <xdr:row>22</xdr:row>
      <xdr:rowOff>152402</xdr:rowOff>
    </xdr:from>
    <xdr:to>
      <xdr:col>30</xdr:col>
      <xdr:colOff>284018</xdr:colOff>
      <xdr:row>32</xdr:row>
      <xdr:rowOff>48493</xdr:rowOff>
    </xdr:to>
    <mc:AlternateContent xmlns:mc="http://schemas.openxmlformats.org/markup-compatibility/2006">
      <mc:Choice xmlns:a14="http://schemas.microsoft.com/office/drawing/2010/main" Requires="a14">
        <xdr:graphicFrame macro="">
          <xdr:nvGraphicFramePr>
            <xdr:cNvPr id="11" name="المنتج المناسب">
              <a:extLst>
                <a:ext uri="{FF2B5EF4-FFF2-40B4-BE49-F238E27FC236}">
                  <a16:creationId xmlns:a16="http://schemas.microsoft.com/office/drawing/2014/main" id="{961DE0A3-14CA-40B8-B010-2F167062E743}"/>
                </a:ext>
              </a:extLst>
            </xdr:cNvPr>
            <xdr:cNvGraphicFramePr/>
          </xdr:nvGraphicFramePr>
          <xdr:xfrm>
            <a:off x="0" y="0"/>
            <a:ext cx="0" cy="0"/>
          </xdr:xfrm>
          <a:graphic>
            <a:graphicData uri="http://schemas.microsoft.com/office/drawing/2010/slicer">
              <sle:slicer xmlns:sle="http://schemas.microsoft.com/office/drawing/2010/slicer" name="المنتج المناسب"/>
            </a:graphicData>
          </a:graphic>
        </xdr:graphicFrame>
      </mc:Choice>
      <mc:Fallback>
        <xdr:sp macro="" textlink="">
          <xdr:nvSpPr>
            <xdr:cNvPr id="0" name=""/>
            <xdr:cNvSpPr>
              <a:spLocks noTextEdit="1"/>
            </xdr:cNvSpPr>
          </xdr:nvSpPr>
          <xdr:spPr>
            <a:xfrm>
              <a:off x="10422268855" y="4114802"/>
              <a:ext cx="2811600" cy="169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53789</xdr:colOff>
      <xdr:row>16</xdr:row>
      <xdr:rowOff>143434</xdr:rowOff>
    </xdr:from>
    <xdr:to>
      <xdr:col>15</xdr:col>
      <xdr:colOff>883024</xdr:colOff>
      <xdr:row>32</xdr:row>
      <xdr:rowOff>17928</xdr:rowOff>
    </xdr:to>
    <xdr:graphicFrame macro="">
      <xdr:nvGraphicFramePr>
        <xdr:cNvPr id="4" name="Chart 3">
          <a:extLst>
            <a:ext uri="{FF2B5EF4-FFF2-40B4-BE49-F238E27FC236}">
              <a16:creationId xmlns:a16="http://schemas.microsoft.com/office/drawing/2014/main" id="{0246CDFB-11C1-4D1E-BC05-8DCDA88A0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999567</xdr:colOff>
      <xdr:row>16</xdr:row>
      <xdr:rowOff>170328</xdr:rowOff>
    </xdr:from>
    <xdr:to>
      <xdr:col>20</xdr:col>
      <xdr:colOff>398932</xdr:colOff>
      <xdr:row>32</xdr:row>
      <xdr:rowOff>40340</xdr:rowOff>
    </xdr:to>
    <xdr:graphicFrame macro="">
      <xdr:nvGraphicFramePr>
        <xdr:cNvPr id="5" name="Chart 4">
          <a:extLst>
            <a:ext uri="{FF2B5EF4-FFF2-40B4-BE49-F238E27FC236}">
              <a16:creationId xmlns:a16="http://schemas.microsoft.com/office/drawing/2014/main" id="{983AB42A-1DB3-4187-A19F-342B81252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376517</xdr:colOff>
      <xdr:row>14</xdr:row>
      <xdr:rowOff>152399</xdr:rowOff>
    </xdr:from>
    <xdr:to>
      <xdr:col>25</xdr:col>
      <xdr:colOff>609600</xdr:colOff>
      <xdr:row>28</xdr:row>
      <xdr:rowOff>17929</xdr:rowOff>
    </xdr:to>
    <xdr:graphicFrame macro="">
      <xdr:nvGraphicFramePr>
        <xdr:cNvPr id="6" name="Chart 5">
          <a:extLst>
            <a:ext uri="{FF2B5EF4-FFF2-40B4-BE49-F238E27FC236}">
              <a16:creationId xmlns:a16="http://schemas.microsoft.com/office/drawing/2014/main" id="{B61DE983-5C03-42A1-95A8-1EC94DD89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233083</xdr:colOff>
      <xdr:row>13</xdr:row>
      <xdr:rowOff>143435</xdr:rowOff>
    </xdr:from>
    <xdr:to>
      <xdr:col>37</xdr:col>
      <xdr:colOff>156881</xdr:colOff>
      <xdr:row>28</xdr:row>
      <xdr:rowOff>129988</xdr:rowOff>
    </xdr:to>
    <xdr:graphicFrame macro="">
      <xdr:nvGraphicFramePr>
        <xdr:cNvPr id="10" name="Chart 9">
          <a:extLst>
            <a:ext uri="{FF2B5EF4-FFF2-40B4-BE49-F238E27FC236}">
              <a16:creationId xmlns:a16="http://schemas.microsoft.com/office/drawing/2014/main" id="{965BC8CD-8027-BB41-F1BF-E87A6FA77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224117</xdr:colOff>
      <xdr:row>32</xdr:row>
      <xdr:rowOff>125507</xdr:rowOff>
    </xdr:from>
    <xdr:to>
      <xdr:col>42</xdr:col>
      <xdr:colOff>690283</xdr:colOff>
      <xdr:row>47</xdr:row>
      <xdr:rowOff>112060</xdr:rowOff>
    </xdr:to>
    <xdr:graphicFrame macro="">
      <xdr:nvGraphicFramePr>
        <xdr:cNvPr id="11" name="Chart 10">
          <a:extLst>
            <a:ext uri="{FF2B5EF4-FFF2-40B4-BE49-F238E27FC236}">
              <a16:creationId xmlns:a16="http://schemas.microsoft.com/office/drawing/2014/main" id="{D6456FC9-4302-C2DA-A73D-63C86FCE4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746313</xdr:colOff>
      <xdr:row>16</xdr:row>
      <xdr:rowOff>49304</xdr:rowOff>
    </xdr:from>
    <xdr:to>
      <xdr:col>42</xdr:col>
      <xdr:colOff>683560</xdr:colOff>
      <xdr:row>31</xdr:row>
      <xdr:rowOff>13446</xdr:rowOff>
    </xdr:to>
    <xdr:graphicFrame macro="">
      <xdr:nvGraphicFramePr>
        <xdr:cNvPr id="14" name="Chart 13">
          <a:extLst>
            <a:ext uri="{FF2B5EF4-FFF2-40B4-BE49-F238E27FC236}">
              <a16:creationId xmlns:a16="http://schemas.microsoft.com/office/drawing/2014/main" id="{0AE20DED-06AD-47B0-CD0F-AE92780F8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1160930</xdr:colOff>
      <xdr:row>23</xdr:row>
      <xdr:rowOff>49306</xdr:rowOff>
    </xdr:from>
    <xdr:to>
      <xdr:col>40</xdr:col>
      <xdr:colOff>605118</xdr:colOff>
      <xdr:row>25</xdr:row>
      <xdr:rowOff>67235</xdr:rowOff>
    </xdr:to>
    <xdr:sp macro="" textlink="">
      <xdr:nvSpPr>
        <xdr:cNvPr id="15" name="Rectangle 14">
          <a:extLst>
            <a:ext uri="{FF2B5EF4-FFF2-40B4-BE49-F238E27FC236}">
              <a16:creationId xmlns:a16="http://schemas.microsoft.com/office/drawing/2014/main" id="{603FE246-F807-1929-2181-70D346B5D481}"/>
            </a:ext>
          </a:extLst>
        </xdr:cNvPr>
        <xdr:cNvSpPr/>
      </xdr:nvSpPr>
      <xdr:spPr>
        <a:xfrm>
          <a:off x="10483385329" y="4276165"/>
          <a:ext cx="726141" cy="3854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39</xdr:col>
      <xdr:colOff>1048870</xdr:colOff>
      <xdr:row>22</xdr:row>
      <xdr:rowOff>165847</xdr:rowOff>
    </xdr:from>
    <xdr:to>
      <xdr:col>40</xdr:col>
      <xdr:colOff>676835</xdr:colOff>
      <xdr:row>25</xdr:row>
      <xdr:rowOff>170329</xdr:rowOff>
    </xdr:to>
    <xdr:sp macro="" textlink="$AR$15">
      <xdr:nvSpPr>
        <xdr:cNvPr id="16" name="Rectangle 15">
          <a:extLst>
            <a:ext uri="{FF2B5EF4-FFF2-40B4-BE49-F238E27FC236}">
              <a16:creationId xmlns:a16="http://schemas.microsoft.com/office/drawing/2014/main" id="{E59C852F-02B8-2207-BD60-ECF482AC663B}"/>
            </a:ext>
          </a:extLst>
        </xdr:cNvPr>
        <xdr:cNvSpPr/>
      </xdr:nvSpPr>
      <xdr:spPr>
        <a:xfrm>
          <a:off x="10483313612" y="4208929"/>
          <a:ext cx="909918" cy="5558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A1724744-50A3-4E87-A4C1-0ADED6C45664}" type="TxLink">
            <a:rPr lang="en-US" sz="1800" b="1" i="0" u="none" strike="noStrike">
              <a:solidFill>
                <a:srgbClr val="002060"/>
              </a:solidFill>
              <a:latin typeface="Calibri"/>
              <a:cs typeface="Calibri"/>
            </a:rPr>
            <a:pPr algn="ctr" rtl="1"/>
            <a:t>81.74%</a:t>
          </a:fld>
          <a:endParaRPr lang="en-US" sz="1800" b="1">
            <a:solidFill>
              <a:srgbClr val="00206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0.29676</cdr:x>
      <cdr:y>0.48693</cdr:y>
    </cdr:from>
    <cdr:to>
      <cdr:x>0.42633</cdr:x>
      <cdr:y>0.62745</cdr:y>
    </cdr:to>
    <cdr:sp macro="" textlink="Sheet2!$AF$16">
      <cdr:nvSpPr>
        <cdr:cNvPr id="2" name="Rectangle 1">
          <a:extLst xmlns:a="http://schemas.openxmlformats.org/drawingml/2006/main">
            <a:ext uri="{FF2B5EF4-FFF2-40B4-BE49-F238E27FC236}">
              <a16:creationId xmlns:a16="http://schemas.microsoft.com/office/drawing/2014/main" id="{92597128-B8A1-8740-853A-12A50980EFE8}"/>
            </a:ext>
          </a:extLst>
        </cdr:cNvPr>
        <cdr:cNvSpPr/>
      </cdr:nvSpPr>
      <cdr:spPr>
        <a:xfrm xmlns:a="http://schemas.openxmlformats.org/drawingml/2006/main">
          <a:off x="1272988" y="1335740"/>
          <a:ext cx="555812" cy="3854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3608C75D-89C1-4004-A8B0-8F41C84D4DF5}" type="TxLink">
            <a:rPr lang="en-US" sz="2000" b="1" i="0" u="none" strike="noStrike" kern="1200">
              <a:solidFill>
                <a:srgbClr val="FCA311"/>
              </a:solidFill>
              <a:latin typeface="Calibri"/>
              <a:cs typeface="Calibri"/>
            </a:rPr>
            <a:pPr algn="ctr"/>
            <a:t>40%</a:t>
          </a:fld>
          <a:endParaRPr lang="en-US" sz="2000" b="1" kern="1200">
            <a:solidFill>
              <a:srgbClr val="FCA311"/>
            </a:solidFill>
          </a:endParaRPr>
        </a:p>
      </cdr:txBody>
    </cdr:sp>
  </cdr:relSizeAnchor>
  <cdr:relSizeAnchor xmlns:cdr="http://schemas.openxmlformats.org/drawingml/2006/chartDrawing">
    <cdr:from>
      <cdr:x>0.29676</cdr:x>
      <cdr:y>0.48693</cdr:y>
    </cdr:from>
    <cdr:to>
      <cdr:x>0.42633</cdr:x>
      <cdr:y>0.62745</cdr:y>
    </cdr:to>
    <cdr:sp macro="" textlink="Sheet2!$AF$16">
      <cdr:nvSpPr>
        <cdr:cNvPr id="3" name="Rectangle 1">
          <a:extLst xmlns:a="http://schemas.openxmlformats.org/drawingml/2006/main">
            <a:ext uri="{FF2B5EF4-FFF2-40B4-BE49-F238E27FC236}">
              <a16:creationId xmlns:a16="http://schemas.microsoft.com/office/drawing/2014/main" id="{92597128-B8A1-8740-853A-12A50980EFE8}"/>
            </a:ext>
          </a:extLst>
        </cdr:cNvPr>
        <cdr:cNvSpPr/>
      </cdr:nvSpPr>
      <cdr:spPr>
        <a:xfrm xmlns:a="http://schemas.openxmlformats.org/drawingml/2006/main">
          <a:off x="1272988" y="1335740"/>
          <a:ext cx="555812" cy="3854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3608C75D-89C1-4004-A8B0-8F41C84D4DF5}" type="TxLink">
            <a:rPr lang="en-US" sz="2000" b="1" i="0" u="none" strike="noStrike" kern="1200">
              <a:solidFill>
                <a:srgbClr val="FCA311"/>
              </a:solidFill>
              <a:latin typeface="Calibri"/>
              <a:cs typeface="Calibri"/>
            </a:rPr>
            <a:pPr algn="ctr"/>
            <a:t>40%</a:t>
          </a:fld>
          <a:endParaRPr lang="en-US" sz="2000" b="1" kern="1200">
            <a:solidFill>
              <a:srgbClr val="FCA31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95250</xdr:colOff>
      <xdr:row>1</xdr:row>
      <xdr:rowOff>9525</xdr:rowOff>
    </xdr:from>
    <xdr:to>
      <xdr:col>6</xdr:col>
      <xdr:colOff>544830</xdr:colOff>
      <xdr:row>16</xdr:row>
      <xdr:rowOff>9525</xdr:rowOff>
    </xdr:to>
    <xdr:graphicFrame macro="">
      <xdr:nvGraphicFramePr>
        <xdr:cNvPr id="2" name="Chart 1">
          <a:extLst>
            <a:ext uri="{FF2B5EF4-FFF2-40B4-BE49-F238E27FC236}">
              <a16:creationId xmlns:a16="http://schemas.microsoft.com/office/drawing/2014/main" id="{8CBAF714-27BC-C554-3E9E-D14C40A0D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647700</xdr:colOff>
      <xdr:row>2</xdr:row>
      <xdr:rowOff>68580</xdr:rowOff>
    </xdr:from>
    <xdr:to>
      <xdr:col>7</xdr:col>
      <xdr:colOff>815340</xdr:colOff>
      <xdr:row>16</xdr:row>
      <xdr:rowOff>152399</xdr:rowOff>
    </xdr:to>
    <mc:AlternateContent xmlns:mc="http://schemas.openxmlformats.org/markup-compatibility/2006" xmlns:a14="http://schemas.microsoft.com/office/drawing/2010/main">
      <mc:Choice Requires="a14">
        <xdr:graphicFrame macro="">
          <xdr:nvGraphicFramePr>
            <xdr:cNvPr id="5" name="التاريخ">
              <a:extLst>
                <a:ext uri="{FF2B5EF4-FFF2-40B4-BE49-F238E27FC236}">
                  <a16:creationId xmlns:a16="http://schemas.microsoft.com/office/drawing/2014/main" id="{D344B330-87DA-F512-6ABC-347774F5E721}"/>
                </a:ext>
              </a:extLst>
            </xdr:cNvPr>
            <xdr:cNvGraphicFramePr/>
          </xdr:nvGraphicFramePr>
          <xdr:xfrm>
            <a:off x="0" y="0"/>
            <a:ext cx="0" cy="0"/>
          </xdr:xfrm>
          <a:graphic>
            <a:graphicData uri="http://schemas.microsoft.com/office/drawing/2010/slicer">
              <sle:slicer xmlns:sle="http://schemas.microsoft.com/office/drawing/2010/slicer" name="التاريخ"/>
            </a:graphicData>
          </a:graphic>
        </xdr:graphicFrame>
      </mc:Choice>
      <mc:Fallback xmlns="">
        <xdr:sp macro="" textlink="">
          <xdr:nvSpPr>
            <xdr:cNvPr id="0" name=""/>
            <xdr:cNvSpPr>
              <a:spLocks noTextEdit="1"/>
            </xdr:cNvSpPr>
          </xdr:nvSpPr>
          <xdr:spPr>
            <a:xfrm>
              <a:off x="10485024750" y="434340"/>
              <a:ext cx="1828800" cy="2644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23</xdr:col>
      <xdr:colOff>27708</xdr:colOff>
      <xdr:row>0</xdr:row>
      <xdr:rowOff>40749</xdr:rowOff>
    </xdr:from>
    <xdr:to>
      <xdr:col>26</xdr:col>
      <xdr:colOff>55418</xdr:colOff>
      <xdr:row>1</xdr:row>
      <xdr:rowOff>90055</xdr:rowOff>
    </xdr:to>
    <xdr:sp macro="" textlink="">
      <xdr:nvSpPr>
        <xdr:cNvPr id="2" name="Rectangle: Rounded Corners 1">
          <a:extLst>
            <a:ext uri="{FF2B5EF4-FFF2-40B4-BE49-F238E27FC236}">
              <a16:creationId xmlns:a16="http://schemas.microsoft.com/office/drawing/2014/main" id="{89E066CE-A91E-5C04-2621-4454FEBE7457}"/>
            </a:ext>
          </a:extLst>
        </xdr:cNvPr>
        <xdr:cNvSpPr/>
      </xdr:nvSpPr>
      <xdr:spPr>
        <a:xfrm>
          <a:off x="10425843327" y="40749"/>
          <a:ext cx="1856510" cy="305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t>الهدف الشهري</a:t>
          </a:r>
          <a:endParaRPr lang="en-US" sz="1600" b="1"/>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5891.962942013888" backgroundQuery="1" createdVersion="8" refreshedVersion="8" minRefreshableVersion="3" recordCount="0" supportSubquery="1" supportAdvancedDrill="1" xr:uid="{A17AA1F7-08F8-4B93-BD64-65F8522F9306}">
  <cacheSource type="external" connectionId="1"/>
  <cacheFields count="5">
    <cacheField name="[Table2].[التاريخ].[التاريخ]" caption="التاريخ" numFmtId="0" hierarchy="37" level="1">
      <sharedItems containsSemiMixedTypes="0" containsNonDate="0" containsDate="1" containsString="0" minDate="2025-08-12T00:00:00" maxDate="2025-08-13T00:00:00" count="1">
        <d v="2025-08-12T00:00:00"/>
      </sharedItems>
    </cacheField>
    <cacheField name="[Table2].[التاريخ (Day)].[التاريخ (Day)]" caption="التاريخ (Day)" numFmtId="0" hierarchy="46" level="1">
      <sharedItems containsSemiMixedTypes="0" containsNonDate="0" containsString="0"/>
    </cacheField>
    <cacheField name="[Measures].[Sum of عدد الطلبات المستهدفة]" caption="Sum of عدد الطلبات المستهدفة" numFmtId="0" hierarchy="57" level="32767"/>
    <cacheField name="[Measures].[Count of رقم الطلب]" caption="Count of رقم الطلب" numFmtId="0" hierarchy="60" level="32767"/>
    <cacheField name="[Table1].[التاريخ].[التاريخ]" caption="التاريخ" numFmtId="0" hierarchy="19" level="1">
      <sharedItems containsSemiMixedTypes="0" containsNonDate="0" containsString="0"/>
    </cacheField>
  </cacheFields>
  <cacheHierarchies count="61">
    <cacheHierarchy uniqueName="[Range].[تسلسل]" caption="تسلسل" attribute="1" defaultMemberUniqueName="[Range].[تسلسل].[All]" allUniqueName="[Range].[تسلسل].[All]" dimensionUniqueName="[Range]" displayFolder="" count="0" memberValueDatatype="20" unbalanced="0"/>
    <cacheHierarchy uniqueName="[Range].[الاسم]" caption="الاسم" attribute="1" defaultMemberUniqueName="[Range].[الاسم].[All]" allUniqueName="[Range].[الاسم].[All]" dimensionUniqueName="[Range]" displayFolder="" count="0" memberValueDatatype="130" unbalanced="0"/>
    <cacheHierarchy uniqueName="[Range].[الهوية]" caption="الهوية" attribute="1" defaultMemberUniqueName="[Range].[الهوية].[All]" allUniqueName="[Range].[الهوية].[All]" dimensionUniqueName="[Range]" displayFolder="" count="0" memberValueDatatype="20" unbalanced="0"/>
    <cacheHierarchy uniqueName="[Range].[رقم الطلب]" caption="رقم الطلب" attribute="1" defaultMemberUniqueName="[Range].[رقم الطلب].[All]" allUniqueName="[Range].[رقم الطلب].[All]" dimensionUniqueName="[Range]" displayFolder="" count="0" memberValueDatatype="20" unbalanced="0"/>
    <cacheHierarchy uniqueName="[Range].[الجوال]" caption="الجوال" attribute="1" defaultMemberUniqueName="[Range].[الجوال].[All]" allUniqueName="[Range].[الجوال].[All]" dimensionUniqueName="[Range]" displayFolder="" count="0" memberValueDatatype="20" unbalanced="0"/>
    <cacheHierarchy uniqueName="[Range].[مصدر العميل]" caption="مصدر العميل" attribute="1" defaultMemberUniqueName="[Range].[مصدر العميل].[All]" allUniqueName="[Range].[مصدر العميل].[All]" dimensionUniqueName="[Range]" displayFolder="" count="0" memberValueDatatype="130" unbalanced="0"/>
    <cacheHierarchy uniqueName="[Range].[طريقة التواصل]" caption="طريقة التواصل" attribute="1" defaultMemberUniqueName="[Range].[طريقة التواصل].[All]" allUniqueName="[Range].[طريقة التواصل].[All]" dimensionUniqueName="[Range]" displayFolder="" count="0" memberValueDatatype="130" unbalanced="0"/>
    <cacheHierarchy uniqueName="[Range].[المنتج المناسب]" caption="المنتج المناسب" attribute="1" defaultMemberUniqueName="[Range].[المنتج المناسب].[All]" allUniqueName="[Range].[المنتج المناسب].[All]" dimensionUniqueName="[Range]" displayFolder="" count="0" memberValueDatatype="130" unbalanced="0"/>
    <cacheHierarchy uniqueName="[Range].[استجابة العميل]" caption="استجابة العميل" attribute="1" defaultMemberUniqueName="[Range].[استجابة العميل].[All]" allUniqueName="[Range].[استجابة العميل].[All]" dimensionUniqueName="[Range]" displayFolder="" count="0" memberValueDatatype="130" unbalanced="0"/>
    <cacheHierarchy uniqueName="[Range].[حالة العميل]" caption="حالة العميل" attribute="1" defaultMemberUniqueName="[Range].[حالة العميل].[All]" allUniqueName="[Range].[حالة العميل].[All]" dimensionUniqueName="[Range]" displayFolder="" count="0" memberValueDatatype="130" unbalanced="0"/>
    <cacheHierarchy uniqueName="[Range].[حالة الطلب]" caption="حالة الطلب" attribute="1" defaultMemberUniqueName="[Range].[حالة الطلب].[All]" allUniqueName="[Range].[حالة الطلب].[All]" dimensionUniqueName="[Range]" displayFolder="" count="0" memberValueDatatype="130" unbalanced="0"/>
    <cacheHierarchy uniqueName="[Range].[مبلغ التمويل]" caption="مبلغ التمويل" attribute="1" defaultMemberUniqueName="[Range].[مبلغ التمويل].[All]" allUniqueName="[Range].[مبلغ التمويل].[All]" dimensionUniqueName="[Range]" displayFolder="" count="0" memberValueDatatype="20" unbalanced="0"/>
    <cacheHierarchy uniqueName="[Range].[مدة المكالمة]" caption="مدة المكالمة" attribute="1" time="1" defaultMemberUniqueName="[Range].[مدة المكالمة].[All]" allUniqueName="[Range].[مدة المكالمة].[All]" dimensionUniqueName="[Range]" displayFolder="" count="0" memberValueDatatype="7" unbalanced="0"/>
    <cacheHierarchy uniqueName="[Range].[التاريخ]" caption="التاريخ" attribute="1" time="1" defaultMemberUniqueName="[Range].[التاريخ].[All]" allUniqueName="[Range].[التاريخ].[All]" dimensionUniqueName="[Range]" displayFolder="" count="0" memberValueDatatype="7" unbalanced="0"/>
    <cacheHierarchy uniqueName="[Range].[اليوم]" caption="اليوم" attribute="1" defaultMemberUniqueName="[Range].[اليوم].[All]" allUniqueName="[Range].[اليوم].[All]" dimensionUniqueName="[Range]" displayFolder="" count="0" memberValueDatatype="130" unbalanced="0"/>
    <cacheHierarchy uniqueName="[Range].[سبب الرفض]" caption="سبب الرفض" attribute="1" defaultMemberUniqueName="[Range].[سبب الرفض].[All]" allUniqueName="[Range].[سبب الرفض].[All]" dimensionUniqueName="[Range]" displayFolder="" count="0" memberValueDatatype="130" unbalanced="0"/>
    <cacheHierarchy uniqueName="[Range].[ملاحظات]" caption="ملاحظات" attribute="1" defaultMemberUniqueName="[Range].[ملاحظات].[All]" allUniqueName="[Range].[ملاحظات].[All]" dimensionUniqueName="[Range]" displayFolder="" count="0" memberValueDatatype="130" unbalanced="0"/>
    <cacheHierarchy uniqueName="[Range].[تم_التسليم.]" caption="تم_التسليم." attribute="1" defaultMemberUniqueName="[Range].[تم_التسليم.].[All]" allUniqueName="[Range].[تم_التسليم.].[All]" dimensionUniqueName="[Range]" displayFolder="" count="0" memberValueDatatype="20" unbalanced="0"/>
    <cacheHierarchy uniqueName="[Range].[المتبقي]" caption="المتبقي" attribute="1" defaultMemberUniqueName="[Range].[المتبقي].[All]" allUniqueName="[Range].[المتبقي].[All]" dimensionUniqueName="[Range]" displayFolder="" count="0" memberValueDatatype="20" unbalanced="0"/>
    <cacheHierarchy uniqueName="[Table1].[التاريخ]" caption="التاريخ" attribute="1" time="1" defaultMemberUniqueName="[Table1].[التاريخ].[All]" allUniqueName="[Table1].[التاريخ].[All]" dimensionUniqueName="[Table1]" displayFolder="" count="2" memberValueDatatype="7" unbalanced="0">
      <fieldsUsage count="2">
        <fieldUsage x="-1"/>
        <fieldUsage x="4"/>
      </fieldsUsage>
    </cacheHierarchy>
    <cacheHierarchy uniqueName="[Table1].[عدد الطلبات المستهدفة]" caption="عدد الطلبات المستهدفة" attribute="1" defaultMemberUniqueName="[Table1].[عدد الطلبات المستهدفة].[All]" allUniqueName="[Table1].[عدد الطلبات المستهدفة].[All]" dimensionUniqueName="[Table1]" displayFolder="" count="0" memberValueDatatype="20" unbalanced="0"/>
    <cacheHierarchy uniqueName="[Table1].[التاريخ (Month)]" caption="التاريخ (Month)" attribute="1" defaultMemberUniqueName="[Table1].[التاريخ (Month)].[All]" allUniqueName="[Table1].[التاريخ (Month)].[All]" dimensionUniqueName="[Table1]" displayFolder="" count="0" memberValueDatatype="130" unbalanced="0"/>
    <cacheHierarchy uniqueName="[Table1].[التاريخ (Year)]" caption="التاريخ (Year)" attribute="1" defaultMemberUniqueName="[Table1].[التاريخ (Year)].[All]" allUniqueName="[Table1].[التاريخ (Year)].[All]" dimensionUniqueName="[Table1]" displayFolder="" count="0" memberValueDatatype="130"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تسلسل]" caption="تسلسل" attribute="1" defaultMemberUniqueName="[Table2].[تسلسل].[All]" allUniqueName="[Table2].[تسلسل].[All]" dimensionUniqueName="[Table2]" displayFolder="" count="0" memberValueDatatype="20" unbalanced="0"/>
    <cacheHierarchy uniqueName="[Table2].[الاسم]" caption="الاسم" attribute="1" defaultMemberUniqueName="[Table2].[الاسم].[All]" allUniqueName="[Table2].[الاسم].[All]" dimensionUniqueName="[Table2]" displayFolder="" count="0" memberValueDatatype="130" unbalanced="0"/>
    <cacheHierarchy uniqueName="[Table2].[الهوية]" caption="الهوية" attribute="1" defaultMemberUniqueName="[Table2].[الهوية].[All]" allUniqueName="[Table2].[الهوية].[All]" dimensionUniqueName="[Table2]" displayFolder="" count="0" memberValueDatatype="20" unbalanced="0"/>
    <cacheHierarchy uniqueName="[Table2].[رقم الطلب]" caption="رقم الطلب" attribute="1" defaultMemberUniqueName="[Table2].[رقم الطلب].[All]" allUniqueName="[Table2].[رقم الطلب].[All]" dimensionUniqueName="[Table2]" displayFolder="" count="0" memberValueDatatype="20" unbalanced="0"/>
    <cacheHierarchy uniqueName="[Table2].[الجوال]" caption="الجوال" attribute="1" defaultMemberUniqueName="[Table2].[الجوال].[All]" allUniqueName="[Table2].[الجوال].[All]" dimensionUniqueName="[Table2]" displayFolder="" count="0" memberValueDatatype="20" unbalanced="0"/>
    <cacheHierarchy uniqueName="[Table2].[مصدر العميل]" caption="مصدر العميل" attribute="1" defaultMemberUniqueName="[Table2].[مصدر العميل].[All]" allUniqueName="[Table2].[مصدر العميل].[All]" dimensionUniqueName="[Table2]" displayFolder="" count="0" memberValueDatatype="130" unbalanced="0"/>
    <cacheHierarchy uniqueName="[Table2].[طريقة التواصل]" caption="طريقة التواصل" attribute="1" defaultMemberUniqueName="[Table2].[طريقة التواصل].[All]" allUniqueName="[Table2].[طريقة التواصل].[All]" dimensionUniqueName="[Table2]" displayFolder="" count="0" memberValueDatatype="130" unbalanced="0"/>
    <cacheHierarchy uniqueName="[Table2].[المنتج المناسب]" caption="المنتج المناسب" attribute="1" defaultMemberUniqueName="[Table2].[المنتج المناسب].[All]" allUniqueName="[Table2].[المنتج المناسب].[All]" dimensionUniqueName="[Table2]" displayFolder="" count="0" memberValueDatatype="130" unbalanced="0"/>
    <cacheHierarchy uniqueName="[Table2].[استجابة العميل]" caption="استجابة العميل" attribute="1" defaultMemberUniqueName="[Table2].[استجابة العميل].[All]" allUniqueName="[Table2].[استجابة العميل].[All]" dimensionUniqueName="[Table2]" displayFolder="" count="0" memberValueDatatype="130" unbalanced="0"/>
    <cacheHierarchy uniqueName="[Table2].[حالة العميل]" caption="حالة العميل" attribute="1" defaultMemberUniqueName="[Table2].[حالة العميل].[All]" allUniqueName="[Table2].[حالة العميل].[All]" dimensionUniqueName="[Table2]" displayFolder="" count="0" memberValueDatatype="130" unbalanced="0"/>
    <cacheHierarchy uniqueName="[Table2].[حالة الطلب]" caption="حالة الطلب" attribute="1" defaultMemberUniqueName="[Table2].[حالة الطلب].[All]" allUniqueName="[Table2].[حالة الطلب].[All]" dimensionUniqueName="[Table2]" displayFolder="" count="0" memberValueDatatype="130" unbalanced="0"/>
    <cacheHierarchy uniqueName="[Table2].[مبلغ التمويل]" caption="مبلغ التمويل" attribute="1" defaultMemberUniqueName="[Table2].[مبلغ التمويل].[All]" allUniqueName="[Table2].[مبلغ التمويل].[All]" dimensionUniqueName="[Table2]" displayFolder="" count="0" memberValueDatatype="20" unbalanced="0"/>
    <cacheHierarchy uniqueName="[Table2].[مدة المكالمة]" caption="مدة المكالمة" attribute="1" time="1" defaultMemberUniqueName="[Table2].[مدة المكالمة].[All]" allUniqueName="[Table2].[مدة المكالمة].[All]" dimensionUniqueName="[Table2]" displayFolder="" count="0" memberValueDatatype="7" unbalanced="0"/>
    <cacheHierarchy uniqueName="[Table2].[التاريخ]" caption="التاريخ" attribute="1" time="1" defaultMemberUniqueName="[Table2].[التاريخ].[All]" allUniqueName="[Table2].[التاريخ].[All]" dimensionUniqueName="[Table2]" displayFolder="" count="2" memberValueDatatype="7" unbalanced="0">
      <fieldsUsage count="2">
        <fieldUsage x="-1"/>
        <fieldUsage x="0"/>
      </fieldsUsage>
    </cacheHierarchy>
    <cacheHierarchy uniqueName="[Table2].[اليوم]" caption="اليوم" attribute="1" defaultMemberUniqueName="[Table2].[اليوم].[All]" allUniqueName="[Table2].[اليوم].[All]" dimensionUniqueName="[Table2]" displayFolder="" count="0" memberValueDatatype="130" unbalanced="0"/>
    <cacheHierarchy uniqueName="[Table2].[سبب الرفض]" caption="سبب الرفض" attribute="1" defaultMemberUniqueName="[Table2].[سبب الرفض].[All]" allUniqueName="[Table2].[سبب الرفض].[All]" dimensionUniqueName="[Table2]" displayFolder="" count="0" memberValueDatatype="130" unbalanced="0"/>
    <cacheHierarchy uniqueName="[Table2].[ملاحظات]" caption="ملاحظات" attribute="1" defaultMemberUniqueName="[Table2].[ملاحظات].[All]" allUniqueName="[Table2].[ملاحظات].[All]" dimensionUniqueName="[Table2]" displayFolder="" count="0" memberValueDatatype="130" unbalanced="0"/>
    <cacheHierarchy uniqueName="[Table2].[تم_التسليم.]" caption="تم_التسليم." attribute="1" defaultMemberUniqueName="[Table2].[تم_التسليم.].[All]" allUniqueName="[Table2].[تم_التسليم.].[All]" dimensionUniqueName="[Table2]" displayFolder="" count="0" memberValueDatatype="20" unbalanced="0"/>
    <cacheHierarchy uniqueName="[Table2].[المتبقي]" caption="المتبقي" attribute="1" defaultMemberUniqueName="[Table2].[المتبقي].[All]" allUniqueName="[Table2].[المتبقي].[All]" dimensionUniqueName="[Table2]" displayFolder="" count="0" memberValueDatatype="20" unbalanced="0"/>
    <cacheHierarchy uniqueName="[Table2].[عدد الاستجابة]" caption="عدد الاستجابة" attribute="1" defaultMemberUniqueName="[Table2].[عدد الاستجابة].[All]" allUniqueName="[Table2].[عدد الاستجابة].[All]" dimensionUniqueName="[Table2]" displayFolder="" count="0" memberValueDatatype="20" unbalanced="0"/>
    <cacheHierarchy uniqueName="[Table2].[التاريخ (Month)]" caption="التاريخ (Month)" attribute="1" defaultMemberUniqueName="[Table2].[التاريخ (Month)].[All]" allUniqueName="[Table2].[التاريخ (Month)].[All]" dimensionUniqueName="[Table2]" displayFolder="" count="0" memberValueDatatype="130" unbalanced="0"/>
    <cacheHierarchy uniqueName="[Table2].[التاريخ (Year)]" caption="التاريخ (Year)" attribute="1" defaultMemberUniqueName="[Table2].[التاريخ (Year)].[All]" allUniqueName="[Table2].[التاريخ (Year)].[All]" dimensionUniqueName="[Table2]" displayFolder="" count="0" memberValueDatatype="130" unbalanced="0"/>
    <cacheHierarchy uniqueName="[Table2].[التاريخ (Day)]" caption="التاريخ (Day)" attribute="1" defaultMemberUniqueName="[Table2].[التاريخ (Day)].[All]" allUniqueName="[Table2].[التاريخ (Day)].[All]" dimensionUniqueName="[Table2]" displayFolder="" count="2" memberValueDatatype="130" unbalanced="0">
      <fieldsUsage count="2">
        <fieldUsage x="-1"/>
        <fieldUsage x="1"/>
      </fieldsUsage>
    </cacheHierarchy>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Table1].[التاريخ (Month Index)]" caption="التاريخ (Month Index)" attribute="1" defaultMemberUniqueName="[Table1].[التاريخ (Month Index)].[All]" allUniqueName="[Table1].[التاريخ (Month Index)].[All]" dimensionUniqueName="[Table1]" displayFolder="" count="0" memberValueDatatype="20" unbalanced="0" hidden="1"/>
    <cacheHierarchy uniqueName="[Table2].[التاريخ (Day Index)]" caption="التاريخ (Day Index)" attribute="1" defaultMemberUniqueName="[Table2].[التاريخ (Day Index)].[All]" allUniqueName="[Table2].[التاريخ (Day Index)].[All]" dimensionUniqueName="[Table2]" displayFolder="" count="0" memberValueDatatype="5" unbalanced="0" hidden="1"/>
    <cacheHierarchy uniqueName="[Table2].[التاريخ (Month Index)]" caption="التاريخ (Month Index)" attribute="1" defaultMemberUniqueName="[Table2].[التاريخ (Month Index)].[All]" allUniqueName="[Table2].[التاريخ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تسلسل]" caption="Sum of تسلسل" measure="1" displayFolder="" measureGroup="Table2" count="0" hidden="1">
      <extLst>
        <ext xmlns:x15="http://schemas.microsoft.com/office/spreadsheetml/2010/11/main" uri="{B97F6D7D-B522-45F9-BDA1-12C45D357490}">
          <x15:cacheHierarchy aggregatedColumn="24"/>
        </ext>
      </extLst>
    </cacheHierarchy>
    <cacheHierarchy uniqueName="[Measures].[Count of الجوال]" caption="Count of الجوال" measure="1" displayFolder="" measureGroup="Table2" count="0" hidden="1">
      <extLst>
        <ext xmlns:x15="http://schemas.microsoft.com/office/spreadsheetml/2010/11/main" uri="{B97F6D7D-B522-45F9-BDA1-12C45D357490}">
          <x15:cacheHierarchy aggregatedColumn="28"/>
        </ext>
      </extLst>
    </cacheHierarchy>
    <cacheHierarchy uniqueName="[Measures].[Sum of عدد الطلبات المستهدفة]" caption="Sum of عدد الطلبات المستهدفة"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عدد الطلبات المستهدفة]" caption="Count of عدد الطلبات المستهدفة" measure="1" displayFolder="" measureGroup="Table1" count="0" hidden="1">
      <extLst>
        <ext xmlns:x15="http://schemas.microsoft.com/office/spreadsheetml/2010/11/main" uri="{B97F6D7D-B522-45F9-BDA1-12C45D357490}">
          <x15:cacheHierarchy aggregatedColumn="20"/>
        </ext>
      </extLst>
    </cacheHierarchy>
    <cacheHierarchy uniqueName="[Measures].[Sum of رقم الطلب]" caption="Sum of رقم الطلب" measure="1" displayFolder="" measureGroup="Table2" count="0" hidden="1">
      <extLst>
        <ext xmlns:x15="http://schemas.microsoft.com/office/spreadsheetml/2010/11/main" uri="{B97F6D7D-B522-45F9-BDA1-12C45D357490}">
          <x15:cacheHierarchy aggregatedColumn="27"/>
        </ext>
      </extLst>
    </cacheHierarchy>
    <cacheHierarchy uniqueName="[Measures].[Count of رقم الطلب]" caption="Count of رقم الطلب" measure="1" displayFolder="" measureGroup="Table2" count="0" oneField="1" hidden="1">
      <fieldsUsage count="1">
        <fieldUsage x="3"/>
      </fieldsUsage>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91.962948032407" createdVersion="8" refreshedVersion="8" minRefreshableVersion="3" recordCount="41" xr:uid="{15BA1614-F50B-415C-8845-79EC423D897C}">
  <cacheSource type="worksheet">
    <worksheetSource ref="A1:T1048576" sheet="data table"/>
  </cacheSource>
  <cacheFields count="23">
    <cacheField name="تسلسل" numFmtId="0">
      <sharedItems containsString="0" containsBlank="1" containsNumber="1" containsInteger="1" minValue="1" maxValue="40"/>
    </cacheField>
    <cacheField name="الاسم" numFmtId="0">
      <sharedItems containsBlank="1"/>
    </cacheField>
    <cacheField name="الهوية" numFmtId="0">
      <sharedItems containsString="0" containsBlank="1" containsNumber="1" containsInteger="1" minValue="1023698542" maxValue="1094739476"/>
    </cacheField>
    <cacheField name="رقم الطلب" numFmtId="0">
      <sharedItems containsString="0" containsBlank="1" containsNumber="1" containsInteger="1" minValue="1221" maxValue="9872"/>
    </cacheField>
    <cacheField name="الجوال" numFmtId="0">
      <sharedItems containsString="0" containsBlank="1" containsNumber="1" containsInteger="1" minValue="56473685" maxValue="918374652"/>
    </cacheField>
    <cacheField name="مصدر العميل" numFmtId="0">
      <sharedItems containsBlank="1"/>
    </cacheField>
    <cacheField name="طريقة التواصل" numFmtId="0">
      <sharedItems containsBlank="1"/>
    </cacheField>
    <cacheField name="المنتج المناسب" numFmtId="0">
      <sharedItems containsBlank="1"/>
    </cacheField>
    <cacheField name="استجابة العميل" numFmtId="0">
      <sharedItems containsBlank="1"/>
    </cacheField>
    <cacheField name="حالة العميل" numFmtId="0">
      <sharedItems containsBlank="1"/>
    </cacheField>
    <cacheField name="حالة الطلب" numFmtId="0">
      <sharedItems containsBlank="1"/>
    </cacheField>
    <cacheField name="مبلغ التمويل" numFmtId="0">
      <sharedItems containsString="0" containsBlank="1" containsNumber="1" containsInteger="1" minValue="12000" maxValue="100000"/>
    </cacheField>
    <cacheField name="مدة المكالمة" numFmtId="0">
      <sharedItems containsNonDate="0" containsDate="1" containsString="0" containsBlank="1" minDate="1899-12-30T00:00:12" maxDate="1899-12-30T00:20:03"/>
    </cacheField>
    <cacheField name="التاريخ" numFmtId="0">
      <sharedItems containsNonDate="0" containsDate="1" containsString="0" containsBlank="1" minDate="2025-08-12T00:00:00" maxDate="2025-09-26T00:00:00" count="46">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m/>
        <d v="2025-08-12T00:00:00" u="1"/>
        <d v="2025-08-14T00:00:00" u="1"/>
        <d v="2025-08-17T00:00:00" u="1"/>
        <d v="2025-08-18T00:00:00" u="1"/>
        <d v="2025-08-19T00:00:00" u="1"/>
        <d v="2025-08-20T00:00:00" u="1"/>
        <d v="2025-08-21T00:00:00" u="1"/>
        <d v="2025-08-22T00:00:00" u="1"/>
        <d v="2025-08-23T00:00:00" u="1"/>
        <d v="2025-08-24T00:00:00" u="1"/>
        <d v="2025-08-25T00:00:00" u="1"/>
        <d v="2025-08-26T00:00:00" u="1"/>
        <d v="2025-08-27T00:00:00" u="1"/>
        <d v="2025-08-28T00:00:00" u="1"/>
        <d v="2025-08-29T00:00:00" u="1"/>
        <d v="2025-08-30T00:00:00" u="1"/>
        <d v="2025-08-31T00:00:00" u="1"/>
        <d v="2025-08-16T00:00:00" u="1"/>
        <d v="2025-08-13T00:00:00" u="1"/>
        <d v="2025-08-15T00:00:00" u="1"/>
      </sharedItems>
      <fieldGroup par="22"/>
    </cacheField>
    <cacheField name="اليوم" numFmtId="0">
      <sharedItems containsBlank="1"/>
    </cacheField>
    <cacheField name="سبب الرفض" numFmtId="0">
      <sharedItems containsNonDate="0" containsString="0" containsBlank="1"/>
    </cacheField>
    <cacheField name="ملاحظات" numFmtId="0">
      <sharedItems containsNonDate="0" containsString="0" containsBlank="1"/>
    </cacheField>
    <cacheField name="تم_التسليم." numFmtId="0">
      <sharedItems containsString="0" containsBlank="1" containsNumber="1" containsInteger="1" minValue="0" maxValue="1"/>
    </cacheField>
    <cacheField name="المتبقي" numFmtId="0">
      <sharedItems containsString="0" containsBlank="1" containsNumber="1" containsInteger="1" minValue="0" maxValue="1"/>
    </cacheField>
    <cacheField name="عدد الاستجابة" numFmtId="0">
      <sharedItems containsString="0" containsBlank="1" containsNumber="1" containsInteger="1" minValue="0" maxValue="1"/>
    </cacheField>
    <cacheField name="Days (التاريخ)" numFmtId="0" databaseField="0">
      <fieldGroup base="13">
        <rangePr groupBy="days" startDate="2025-09-01T00:00:00" endDate="2025-09-26T00:00:00"/>
        <groupItems count="368">
          <s v="&lt;01/09/2025"/>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26/09/2025"/>
        </groupItems>
      </fieldGroup>
    </cacheField>
    <cacheField name="Months (التاريخ)" numFmtId="0" databaseField="0">
      <fieldGroup base="13">
        <rangePr groupBy="months" startDate="2025-09-01T00:00:00" endDate="2025-09-26T00:00:00"/>
        <groupItems count="14">
          <s v="&lt;01/09/2025"/>
          <s v="يناير"/>
          <s v="فبراير"/>
          <s v="مارس"/>
          <s v="أبريل"/>
          <s v="مايو"/>
          <s v="يونيو"/>
          <s v="يوليو"/>
          <s v="أغسطس"/>
          <s v="سبتمبر"/>
          <s v="أكتوبر"/>
          <s v="نوفمبر"/>
          <s v="ديسمبر"/>
          <s v="&gt;26/09/2025"/>
        </groupItems>
      </fieldGroup>
    </cacheField>
    <cacheField name="Years (التاريخ)" numFmtId="0" databaseField="0">
      <fieldGroup base="13">
        <rangePr groupBy="years" startDate="2025-09-01T00:00:00" endDate="2025-09-26T00:00:00"/>
        <groupItems count="3">
          <s v="&lt;01/09/2025"/>
          <s v="2025"/>
          <s v="&gt;26/09/2025"/>
        </groupItems>
      </fieldGroup>
    </cacheField>
  </cacheFields>
  <extLst>
    <ext xmlns:x14="http://schemas.microsoft.com/office/spreadsheetml/2009/9/main" uri="{725AE2AE-9491-48be-B2B4-4EB974FC3084}">
      <x14:pivotCacheDefinition pivotCacheId="7263847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91.962949189816" createdVersion="8" refreshedVersion="8" minRefreshableVersion="3" recordCount="41" xr:uid="{C054A0F0-D2B6-4586-9187-8404DB7B67AB}">
  <cacheSource type="worksheet">
    <worksheetSource ref="A1:S1048576" sheet="data table"/>
  </cacheSource>
  <cacheFields count="22">
    <cacheField name="تسلسل" numFmtId="0">
      <sharedItems containsString="0" containsBlank="1" containsNumber="1" containsInteger="1" minValue="1" maxValue="40"/>
    </cacheField>
    <cacheField name="الاسم" numFmtId="0">
      <sharedItems containsBlank="1"/>
    </cacheField>
    <cacheField name="الهوية" numFmtId="0">
      <sharedItems containsString="0" containsBlank="1" containsNumber="1" containsInteger="1" minValue="1023698542" maxValue="1094739476"/>
    </cacheField>
    <cacheField name="رقم الطلب" numFmtId="0">
      <sharedItems containsString="0" containsBlank="1" containsNumber="1" containsInteger="1" minValue="1221" maxValue="9872"/>
    </cacheField>
    <cacheField name="الجوال" numFmtId="0">
      <sharedItems containsString="0" containsBlank="1" containsNumber="1" containsInteger="1" minValue="56473685" maxValue="918374652"/>
    </cacheField>
    <cacheField name="مصدر العميل" numFmtId="0">
      <sharedItems containsBlank="1" count="8">
        <s v="قاعدة البيانات"/>
        <s v="اتصال وارد"/>
        <s v="طلبات الكاسل"/>
        <s v="حضوري"/>
        <s v="إحالة من عميل"/>
        <s v="بحث شخصي"/>
        <s v="CRM"/>
        <m/>
      </sharedItems>
    </cacheField>
    <cacheField name="طريقة التواصل" numFmtId="0">
      <sharedItems containsBlank="1"/>
    </cacheField>
    <cacheField name="المنتج المناسب" numFmtId="0">
      <sharedItems containsBlank="1" count="5">
        <s v="تمويل شخصي"/>
        <s v="ايجارة"/>
        <s v="شراء مديونية"/>
        <s v="تمويل إضافي"/>
        <m/>
      </sharedItems>
    </cacheField>
    <cacheField name="استجابة العميل" numFmtId="0">
      <sharedItems containsBlank="1" count="4">
        <s v="استجاب"/>
        <s v="غبر مهم"/>
        <s v="لم يستجب"/>
        <m/>
      </sharedItems>
    </cacheField>
    <cacheField name="حالة العميل" numFmtId="0">
      <sharedItems containsBlank="1" count="6">
        <s v="مهتم"/>
        <s v="لم يرد"/>
        <s v="المتابعة لاحقاً"/>
        <s v="غير مهتم"/>
        <s v="الرقم غير صحيح"/>
        <m/>
      </sharedItems>
    </cacheField>
    <cacheField name="حالة الطلب" numFmtId="0">
      <sharedItems containsBlank="1" count="10">
        <s v="تم التسليم"/>
        <s v="مرفوض"/>
        <s v="بانتظار المستندات"/>
        <s v="سيتم رفع الطلب"/>
        <s v="قبول عرض"/>
        <s v="الائتمان"/>
        <s v="تم التوقيع"/>
        <s v="التحقق"/>
        <m/>
        <s v="ادخال بيانات العقد" u="1"/>
      </sharedItems>
    </cacheField>
    <cacheField name="مبلغ التمويل" numFmtId="0">
      <sharedItems containsString="0" containsBlank="1" containsNumber="1" containsInteger="1" minValue="12000" maxValue="100000"/>
    </cacheField>
    <cacheField name="مدة المكالمة" numFmtId="0">
      <sharedItems containsNonDate="0" containsDate="1" containsString="0" containsBlank="1" minDate="1899-12-30T00:00:12" maxDate="1899-12-30T00:20:03"/>
    </cacheField>
    <cacheField name="التاريخ" numFmtId="0">
      <sharedItems containsNonDate="0" containsDate="1" containsString="0" containsBlank="1" minDate="2025-08-12T00:00:00" maxDate="2025-09-26T00:00:00" count="46">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m/>
        <d v="2025-08-12T00:00:00" u="1"/>
        <d v="2025-08-14T00:00:00" u="1"/>
        <d v="2025-08-17T00:00:00" u="1"/>
        <d v="2025-08-18T00:00:00" u="1"/>
        <d v="2025-08-19T00:00:00" u="1"/>
        <d v="2025-08-20T00:00:00" u="1"/>
        <d v="2025-08-21T00:00:00" u="1"/>
        <d v="2025-08-22T00:00:00" u="1"/>
        <d v="2025-08-23T00:00:00" u="1"/>
        <d v="2025-08-24T00:00:00" u="1"/>
        <d v="2025-08-25T00:00:00" u="1"/>
        <d v="2025-08-26T00:00:00" u="1"/>
        <d v="2025-08-27T00:00:00" u="1"/>
        <d v="2025-08-28T00:00:00" u="1"/>
        <d v="2025-08-29T00:00:00" u="1"/>
        <d v="2025-08-30T00:00:00" u="1"/>
        <d v="2025-08-31T00:00:00" u="1"/>
        <d v="2025-08-16T00:00:00" u="1"/>
        <d v="2025-08-13T00:00:00" u="1"/>
        <d v="2025-08-15T00:00:00" u="1"/>
      </sharedItems>
      <fieldGroup par="21"/>
    </cacheField>
    <cacheField name="اليوم" numFmtId="0">
      <sharedItems containsBlank="1"/>
    </cacheField>
    <cacheField name="سبب الرفض" numFmtId="0">
      <sharedItems containsNonDate="0" containsString="0" containsBlank="1"/>
    </cacheField>
    <cacheField name="ملاحظات" numFmtId="0">
      <sharedItems containsNonDate="0" containsString="0" containsBlank="1"/>
    </cacheField>
    <cacheField name="تم_التسليم." numFmtId="0">
      <sharedItems containsString="0" containsBlank="1" containsNumber="1" containsInteger="1" minValue="0" maxValue="1"/>
    </cacheField>
    <cacheField name="المتبقي" numFmtId="0">
      <sharedItems containsString="0" containsBlank="1" containsNumber="1" containsInteger="1" minValue="0" maxValue="1"/>
    </cacheField>
    <cacheField name="Days (التاريخ)" numFmtId="0" databaseField="0">
      <fieldGroup base="13">
        <rangePr groupBy="days" startDate="2025-09-01T00:00:00" endDate="2025-09-26T00:00:00"/>
        <groupItems count="368">
          <s v="&lt;01/09/2025"/>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26/09/2025"/>
        </groupItems>
      </fieldGroup>
    </cacheField>
    <cacheField name="Months (التاريخ)" numFmtId="0" databaseField="0">
      <fieldGroup base="13">
        <rangePr groupBy="months" startDate="2025-09-01T00:00:00" endDate="2025-09-26T00:00:00"/>
        <groupItems count="14">
          <s v="&lt;01/09/2025"/>
          <s v="يناير"/>
          <s v="فبراير"/>
          <s v="مارس"/>
          <s v="أبريل"/>
          <s v="مايو"/>
          <s v="يونيو"/>
          <s v="يوليو"/>
          <s v="أغسطس"/>
          <s v="سبتمبر"/>
          <s v="أكتوبر"/>
          <s v="نوفمبر"/>
          <s v="ديسمبر"/>
          <s v="&gt;26/09/2025"/>
        </groupItems>
      </fieldGroup>
    </cacheField>
    <cacheField name="Years (التاريخ)" numFmtId="0" databaseField="0">
      <fieldGroup base="13">
        <rangePr groupBy="years" startDate="2025-09-01T00:00:00" endDate="2025-09-26T00:00:00"/>
        <groupItems count="3">
          <s v="&lt;01/09/2025"/>
          <s v="2025"/>
          <s v="&gt;26/09/2025"/>
        </groupItems>
      </fieldGroup>
    </cacheField>
  </cacheFields>
  <extLst>
    <ext xmlns:x14="http://schemas.microsoft.com/office/spreadsheetml/2009/9/main" uri="{725AE2AE-9491-48be-B2B4-4EB974FC3084}">
      <x14:pivotCacheDefinition pivotCacheId="5539330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91.962939351855" backgroundQuery="1" createdVersion="3" refreshedVersion="8" minRefreshableVersion="3" recordCount="0" supportSubquery="1" supportAdvancedDrill="1" xr:uid="{BF8869D5-3910-4BAE-9D1A-4199FA943703}">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Range].[تسلسل]" caption="تسلسل" attribute="1" defaultMemberUniqueName="[Range].[تسلسل].[All]" allUniqueName="[Range].[تسلسل].[All]" dimensionUniqueName="[Range]" displayFolder="" count="0" memberValueDatatype="20" unbalanced="0"/>
    <cacheHierarchy uniqueName="[Range].[الاسم]" caption="الاسم" attribute="1" defaultMemberUniqueName="[Range].[الاسم].[All]" allUniqueName="[Range].[الاسم].[All]" dimensionUniqueName="[Range]" displayFolder="" count="0" memberValueDatatype="130" unbalanced="0"/>
    <cacheHierarchy uniqueName="[Range].[الهوية]" caption="الهوية" attribute="1" defaultMemberUniqueName="[Range].[الهوية].[All]" allUniqueName="[Range].[الهوية].[All]" dimensionUniqueName="[Range]" displayFolder="" count="0" memberValueDatatype="20" unbalanced="0"/>
    <cacheHierarchy uniqueName="[Range].[رقم الطلب]" caption="رقم الطلب" attribute="1" defaultMemberUniqueName="[Range].[رقم الطلب].[All]" allUniqueName="[Range].[رقم الطلب].[All]" dimensionUniqueName="[Range]" displayFolder="" count="0" memberValueDatatype="20" unbalanced="0"/>
    <cacheHierarchy uniqueName="[Range].[الجوال]" caption="الجوال" attribute="1" defaultMemberUniqueName="[Range].[الجوال].[All]" allUniqueName="[Range].[الجوال].[All]" dimensionUniqueName="[Range]" displayFolder="" count="0" memberValueDatatype="20" unbalanced="0"/>
    <cacheHierarchy uniqueName="[Range].[مصدر العميل]" caption="مصدر العميل" attribute="1" defaultMemberUniqueName="[Range].[مصدر العميل].[All]" allUniqueName="[Range].[مصدر العميل].[All]" dimensionUniqueName="[Range]" displayFolder="" count="0" memberValueDatatype="130" unbalanced="0"/>
    <cacheHierarchy uniqueName="[Range].[طريقة التواصل]" caption="طريقة التواصل" attribute="1" defaultMemberUniqueName="[Range].[طريقة التواصل].[All]" allUniqueName="[Range].[طريقة التواصل].[All]" dimensionUniqueName="[Range]" displayFolder="" count="0" memberValueDatatype="130" unbalanced="0"/>
    <cacheHierarchy uniqueName="[Range].[المنتج المناسب]" caption="المنتج المناسب" attribute="1" defaultMemberUniqueName="[Range].[المنتج المناسب].[All]" allUniqueName="[Range].[المنتج المناسب].[All]" dimensionUniqueName="[Range]" displayFolder="" count="0" memberValueDatatype="130" unbalanced="0"/>
    <cacheHierarchy uniqueName="[Range].[استجابة العميل]" caption="استجابة العميل" attribute="1" defaultMemberUniqueName="[Range].[استجابة العميل].[All]" allUniqueName="[Range].[استجابة العميل].[All]" dimensionUniqueName="[Range]" displayFolder="" count="0" memberValueDatatype="130" unbalanced="0"/>
    <cacheHierarchy uniqueName="[Range].[حالة العميل]" caption="حالة العميل" attribute="1" defaultMemberUniqueName="[Range].[حالة العميل].[All]" allUniqueName="[Range].[حالة العميل].[All]" dimensionUniqueName="[Range]" displayFolder="" count="0" memberValueDatatype="130" unbalanced="0"/>
    <cacheHierarchy uniqueName="[Range].[حالة الطلب]" caption="حالة الطلب" attribute="1" defaultMemberUniqueName="[Range].[حالة الطلب].[All]" allUniqueName="[Range].[حالة الطلب].[All]" dimensionUniqueName="[Range]" displayFolder="" count="0" memberValueDatatype="130" unbalanced="0"/>
    <cacheHierarchy uniqueName="[Range].[مبلغ التمويل]" caption="مبلغ التمويل" attribute="1" defaultMemberUniqueName="[Range].[مبلغ التمويل].[All]" allUniqueName="[Range].[مبلغ التمويل].[All]" dimensionUniqueName="[Range]" displayFolder="" count="0" memberValueDatatype="20" unbalanced="0"/>
    <cacheHierarchy uniqueName="[Range].[مدة المكالمة]" caption="مدة المكالمة" attribute="1" time="1" defaultMemberUniqueName="[Range].[مدة المكالمة].[All]" allUniqueName="[Range].[مدة المكالمة].[All]" dimensionUniqueName="[Range]" displayFolder="" count="0" memberValueDatatype="7" unbalanced="0"/>
    <cacheHierarchy uniqueName="[Range].[التاريخ]" caption="التاريخ" attribute="1" time="1" defaultMemberUniqueName="[Range].[التاريخ].[All]" allUniqueName="[Range].[التاريخ].[All]" dimensionUniqueName="[Range]" displayFolder="" count="0" memberValueDatatype="7" unbalanced="0"/>
    <cacheHierarchy uniqueName="[Range].[اليوم]" caption="اليوم" attribute="1" defaultMemberUniqueName="[Range].[اليوم].[All]" allUniqueName="[Range].[اليوم].[All]" dimensionUniqueName="[Range]" displayFolder="" count="0" memberValueDatatype="130" unbalanced="0"/>
    <cacheHierarchy uniqueName="[Range].[سبب الرفض]" caption="سبب الرفض" attribute="1" defaultMemberUniqueName="[Range].[سبب الرفض].[All]" allUniqueName="[Range].[سبب الرفض].[All]" dimensionUniqueName="[Range]" displayFolder="" count="0" memberValueDatatype="130" unbalanced="0"/>
    <cacheHierarchy uniqueName="[Range].[ملاحظات]" caption="ملاحظات" attribute="1" defaultMemberUniqueName="[Range].[ملاحظات].[All]" allUniqueName="[Range].[ملاحظات].[All]" dimensionUniqueName="[Range]" displayFolder="" count="0" memberValueDatatype="130" unbalanced="0"/>
    <cacheHierarchy uniqueName="[Range].[تم_التسليم.]" caption="تم_التسليم." attribute="1" defaultMemberUniqueName="[Range].[تم_التسليم.].[All]" allUniqueName="[Range].[تم_التسليم.].[All]" dimensionUniqueName="[Range]" displayFolder="" count="0" memberValueDatatype="20" unbalanced="0"/>
    <cacheHierarchy uniqueName="[Range].[المتبقي]" caption="المتبقي" attribute="1" defaultMemberUniqueName="[Range].[المتبقي].[All]" allUniqueName="[Range].[المتبقي].[All]" dimensionUniqueName="[Range]" displayFolder="" count="0" memberValueDatatype="20" unbalanced="0"/>
    <cacheHierarchy uniqueName="[Table1].[التاريخ]" caption="التاريخ" attribute="1" time="1" defaultMemberUniqueName="[Table1].[التاريخ].[All]" allUniqueName="[Table1].[التاريخ].[All]" dimensionUniqueName="[Table1]" displayFolder="" count="2" memberValueDatatype="7" unbalanced="0"/>
    <cacheHierarchy uniqueName="[Table1].[عدد الطلبات المستهدفة]" caption="عدد الطلبات المستهدفة" attribute="1" defaultMemberUniqueName="[Table1].[عدد الطلبات المستهدفة].[All]" allUniqueName="[Table1].[عدد الطلبات المستهدفة].[All]" dimensionUniqueName="[Table1]" displayFolder="" count="0" memberValueDatatype="20" unbalanced="0"/>
    <cacheHierarchy uniqueName="[Table1].[التاريخ (Month)]" caption="التاريخ (Month)" attribute="1" defaultMemberUniqueName="[Table1].[التاريخ (Month)].[All]" allUniqueName="[Table1].[التاريخ (Month)].[All]" dimensionUniqueName="[Table1]" displayFolder="" count="0" memberValueDatatype="130" unbalanced="0"/>
    <cacheHierarchy uniqueName="[Table1].[التاريخ (Year)]" caption="التاريخ (Year)" attribute="1" defaultMemberUniqueName="[Table1].[التاريخ (Year)].[All]" allUniqueName="[Table1].[التاريخ (Year)].[All]" dimensionUniqueName="[Table1]" displayFolder="" count="0" memberValueDatatype="130"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تسلسل]" caption="تسلسل" attribute="1" defaultMemberUniqueName="[Table2].[تسلسل].[All]" allUniqueName="[Table2].[تسلسل].[All]" dimensionUniqueName="[Table2]" displayFolder="" count="0" memberValueDatatype="20" unbalanced="0"/>
    <cacheHierarchy uniqueName="[Table2].[الاسم]" caption="الاسم" attribute="1" defaultMemberUniqueName="[Table2].[الاسم].[All]" allUniqueName="[Table2].[الاسم].[All]" dimensionUniqueName="[Table2]" displayFolder="" count="0" memberValueDatatype="130" unbalanced="0"/>
    <cacheHierarchy uniqueName="[Table2].[الهوية]" caption="الهوية" attribute="1" defaultMemberUniqueName="[Table2].[الهوية].[All]" allUniqueName="[Table2].[الهوية].[All]" dimensionUniqueName="[Table2]" displayFolder="" count="0" memberValueDatatype="20" unbalanced="0"/>
    <cacheHierarchy uniqueName="[Table2].[رقم الطلب]" caption="رقم الطلب" attribute="1" defaultMemberUniqueName="[Table2].[رقم الطلب].[All]" allUniqueName="[Table2].[رقم الطلب].[All]" dimensionUniqueName="[Table2]" displayFolder="" count="0" memberValueDatatype="20" unbalanced="0"/>
    <cacheHierarchy uniqueName="[Table2].[الجوال]" caption="الجوال" attribute="1" defaultMemberUniqueName="[Table2].[الجوال].[All]" allUniqueName="[Table2].[الجوال].[All]" dimensionUniqueName="[Table2]" displayFolder="" count="0" memberValueDatatype="20" unbalanced="0"/>
    <cacheHierarchy uniqueName="[Table2].[مصدر العميل]" caption="مصدر العميل" attribute="1" defaultMemberUniqueName="[Table2].[مصدر العميل].[All]" allUniqueName="[Table2].[مصدر العميل].[All]" dimensionUniqueName="[Table2]" displayFolder="" count="0" memberValueDatatype="130" unbalanced="0"/>
    <cacheHierarchy uniqueName="[Table2].[طريقة التواصل]" caption="طريقة التواصل" attribute="1" defaultMemberUniqueName="[Table2].[طريقة التواصل].[All]" allUniqueName="[Table2].[طريقة التواصل].[All]" dimensionUniqueName="[Table2]" displayFolder="" count="0" memberValueDatatype="130" unbalanced="0"/>
    <cacheHierarchy uniqueName="[Table2].[المنتج المناسب]" caption="المنتج المناسب" attribute="1" defaultMemberUniqueName="[Table2].[المنتج المناسب].[All]" allUniqueName="[Table2].[المنتج المناسب].[All]" dimensionUniqueName="[Table2]" displayFolder="" count="0" memberValueDatatype="130" unbalanced="0"/>
    <cacheHierarchy uniqueName="[Table2].[استجابة العميل]" caption="استجابة العميل" attribute="1" defaultMemberUniqueName="[Table2].[استجابة العميل].[All]" allUniqueName="[Table2].[استجابة العميل].[All]" dimensionUniqueName="[Table2]" displayFolder="" count="0" memberValueDatatype="130" unbalanced="0"/>
    <cacheHierarchy uniqueName="[Table2].[حالة العميل]" caption="حالة العميل" attribute="1" defaultMemberUniqueName="[Table2].[حالة العميل].[All]" allUniqueName="[Table2].[حالة العميل].[All]" dimensionUniqueName="[Table2]" displayFolder="" count="0" memberValueDatatype="130" unbalanced="0"/>
    <cacheHierarchy uniqueName="[Table2].[حالة الطلب]" caption="حالة الطلب" attribute="1" defaultMemberUniqueName="[Table2].[حالة الطلب].[All]" allUniqueName="[Table2].[حالة الطلب].[All]" dimensionUniqueName="[Table2]" displayFolder="" count="0" memberValueDatatype="130" unbalanced="0"/>
    <cacheHierarchy uniqueName="[Table2].[مبلغ التمويل]" caption="مبلغ التمويل" attribute="1" defaultMemberUniqueName="[Table2].[مبلغ التمويل].[All]" allUniqueName="[Table2].[مبلغ التمويل].[All]" dimensionUniqueName="[Table2]" displayFolder="" count="0" memberValueDatatype="20" unbalanced="0"/>
    <cacheHierarchy uniqueName="[Table2].[مدة المكالمة]" caption="مدة المكالمة" attribute="1" time="1" defaultMemberUniqueName="[Table2].[مدة المكالمة].[All]" allUniqueName="[Table2].[مدة المكالمة].[All]" dimensionUniqueName="[Table2]" displayFolder="" count="0" memberValueDatatype="7" unbalanced="0"/>
    <cacheHierarchy uniqueName="[Table2].[التاريخ]" caption="التاريخ" attribute="1" time="1" defaultMemberUniqueName="[Table2].[التاريخ].[All]" allUniqueName="[Table2].[التاريخ].[All]" dimensionUniqueName="[Table2]" displayFolder="" count="0" memberValueDatatype="7" unbalanced="0"/>
    <cacheHierarchy uniqueName="[Table2].[اليوم]" caption="اليوم" attribute="1" defaultMemberUniqueName="[Table2].[اليوم].[All]" allUniqueName="[Table2].[اليوم].[All]" dimensionUniqueName="[Table2]" displayFolder="" count="0" memberValueDatatype="130" unbalanced="0"/>
    <cacheHierarchy uniqueName="[Table2].[سبب الرفض]" caption="سبب الرفض" attribute="1" defaultMemberUniqueName="[Table2].[سبب الرفض].[All]" allUniqueName="[Table2].[سبب الرفض].[All]" dimensionUniqueName="[Table2]" displayFolder="" count="0" memberValueDatatype="130" unbalanced="0"/>
    <cacheHierarchy uniqueName="[Table2].[ملاحظات]" caption="ملاحظات" attribute="1" defaultMemberUniqueName="[Table2].[ملاحظات].[All]" allUniqueName="[Table2].[ملاحظات].[All]" dimensionUniqueName="[Table2]" displayFolder="" count="0" memberValueDatatype="130" unbalanced="0"/>
    <cacheHierarchy uniqueName="[Table2].[تم_التسليم.]" caption="تم_التسليم." attribute="1" defaultMemberUniqueName="[Table2].[تم_التسليم.].[All]" allUniqueName="[Table2].[تم_التسليم.].[All]" dimensionUniqueName="[Table2]" displayFolder="" count="0" memberValueDatatype="20" unbalanced="0"/>
    <cacheHierarchy uniqueName="[Table2].[المتبقي]" caption="المتبقي" attribute="1" defaultMemberUniqueName="[Table2].[المتبقي].[All]" allUniqueName="[Table2].[المتبقي].[All]" dimensionUniqueName="[Table2]" displayFolder="" count="0" memberValueDatatype="20" unbalanced="0"/>
    <cacheHierarchy uniqueName="[Table2].[عدد الاستجابة]" caption="عدد الاستجابة" attribute="1" defaultMemberUniqueName="[Table2].[عدد الاستجابة].[All]" allUniqueName="[Table2].[عدد الاستجابة].[All]" dimensionUniqueName="[Table2]" displayFolder="" count="0" memberValueDatatype="20" unbalanced="0"/>
    <cacheHierarchy uniqueName="[Table2].[التاريخ (Month)]" caption="التاريخ (Month)" attribute="1" defaultMemberUniqueName="[Table2].[التاريخ (Month)].[All]" allUniqueName="[Table2].[التاريخ (Month)].[All]" dimensionUniqueName="[Table2]" displayFolder="" count="0" memberValueDatatype="130" unbalanced="0"/>
    <cacheHierarchy uniqueName="[Table2].[التاريخ (Year)]" caption="التاريخ (Year)" attribute="1" defaultMemberUniqueName="[Table2].[التاريخ (Year)].[All]" allUniqueName="[Table2].[التاريخ (Year)].[All]" dimensionUniqueName="[Table2]" displayFolder="" count="0" memberValueDatatype="130" unbalanced="0"/>
    <cacheHierarchy uniqueName="[Table2].[التاريخ (Day)]" caption="التاريخ (Day)" attribute="1" defaultMemberUniqueName="[Table2].[التاريخ (Day)].[All]" allUniqueName="[Table2].[التاريخ (Day)].[All]" dimensionUniqueName="[Table2]" displayFolder="" count="0" memberValueDatatype="130"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Table1].[التاريخ (Month Index)]" caption="التاريخ (Month Index)" attribute="1" defaultMemberUniqueName="[Table1].[التاريخ (Month Index)].[All]" allUniqueName="[Table1].[التاريخ (Month Index)].[All]" dimensionUniqueName="[Table1]" displayFolder="" count="0" memberValueDatatype="20" unbalanced="0" hidden="1"/>
    <cacheHierarchy uniqueName="[Table2].[التاريخ (Day Index)]" caption="التاريخ (Day Index)" attribute="1" defaultMemberUniqueName="[Table2].[التاريخ (Day Index)].[All]" allUniqueName="[Table2].[التاريخ (Day Index)].[All]" dimensionUniqueName="[Table2]" displayFolder="" count="0" memberValueDatatype="5" unbalanced="0" hidden="1"/>
    <cacheHierarchy uniqueName="[Table2].[التاريخ (Month Index)]" caption="التاريخ (Month Index)" attribute="1" defaultMemberUniqueName="[Table2].[التاريخ (Month Index)].[All]" allUniqueName="[Table2].[التاريخ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تسلسل]" caption="Sum of تسلسل" measure="1" displayFolder="" measureGroup="Table2" count="0" hidden="1">
      <extLst>
        <ext xmlns:x15="http://schemas.microsoft.com/office/spreadsheetml/2010/11/main" uri="{B97F6D7D-B522-45F9-BDA1-12C45D357490}">
          <x15:cacheHierarchy aggregatedColumn="24"/>
        </ext>
      </extLst>
    </cacheHierarchy>
    <cacheHierarchy uniqueName="[Measures].[Count of الجوال]" caption="Count of الجوال" measure="1" displayFolder="" measureGroup="Table2" count="0" hidden="1">
      <extLst>
        <ext xmlns:x15="http://schemas.microsoft.com/office/spreadsheetml/2010/11/main" uri="{B97F6D7D-B522-45F9-BDA1-12C45D357490}">
          <x15:cacheHierarchy aggregatedColumn="28"/>
        </ext>
      </extLst>
    </cacheHierarchy>
    <cacheHierarchy uniqueName="[Measures].[Sum of عدد الطلبات المستهدفة]" caption="Sum of عدد الطلبات المستهدفة" measure="1" displayFolder="" measureGroup="Table1" count="0" hidden="1">
      <extLst>
        <ext xmlns:x15="http://schemas.microsoft.com/office/spreadsheetml/2010/11/main" uri="{B97F6D7D-B522-45F9-BDA1-12C45D357490}">
          <x15:cacheHierarchy aggregatedColumn="20"/>
        </ext>
      </extLst>
    </cacheHierarchy>
    <cacheHierarchy uniqueName="[Measures].[Count of عدد الطلبات المستهدفة]" caption="Count of عدد الطلبات المستهدفة" measure="1" displayFolder="" measureGroup="Table1" count="0" hidden="1">
      <extLst>
        <ext xmlns:x15="http://schemas.microsoft.com/office/spreadsheetml/2010/11/main" uri="{B97F6D7D-B522-45F9-BDA1-12C45D357490}">
          <x15:cacheHierarchy aggregatedColumn="20"/>
        </ext>
      </extLst>
    </cacheHierarchy>
    <cacheHierarchy uniqueName="[Measures].[Sum of رقم الطلب]" caption="Sum of رقم الطلب" measure="1" displayFolder="" measureGroup="Table2" count="0" hidden="1">
      <extLst>
        <ext xmlns:x15="http://schemas.microsoft.com/office/spreadsheetml/2010/11/main" uri="{B97F6D7D-B522-45F9-BDA1-12C45D357490}">
          <x15:cacheHierarchy aggregatedColumn="27"/>
        </ext>
      </extLst>
    </cacheHierarchy>
    <cacheHierarchy uniqueName="[Measures].[Count of رقم الطلب]" caption="Count of رقم الطلب" measure="1" displayFolder="" measureGroup="Table2"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55664460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s v="علي الصحاف"/>
    <n v="1094739476"/>
    <n v="1234"/>
    <n v="523698741"/>
    <s v="قاعدة البيانات"/>
    <s v="طلبات الكاسل"/>
    <s v="تمويل شخصي"/>
    <s v="استجاب"/>
    <s v="مهتم"/>
    <s v="تم التسليم"/>
    <n v="12000"/>
    <d v="1899-12-30T00:02:13"/>
    <x v="0"/>
    <s v="الإثنين"/>
    <m/>
    <m/>
    <n v="1"/>
    <n v="0"/>
    <n v="1"/>
  </r>
  <r>
    <n v="2"/>
    <s v="أحمد بن فهد العبدالعزيز"/>
    <n v="1094739476"/>
    <n v="5678"/>
    <n v="537826758"/>
    <s v="اتصال وارد"/>
    <s v="حضوري"/>
    <s v="ايجارة"/>
    <s v="استجاب"/>
    <s v="مهتم"/>
    <s v="تم التسليم"/>
    <m/>
    <d v="1899-12-30T00:05:10"/>
    <x v="1"/>
    <s v="الثلاثاء"/>
    <m/>
    <m/>
    <n v="1"/>
    <n v="0"/>
    <n v="1"/>
  </r>
  <r>
    <n v="3"/>
    <s v="مروان بن عبدالعزيز بن عبدالله الفداء"/>
    <n v="1094739476"/>
    <n v="6844"/>
    <n v="567827667"/>
    <s v="طلبات الكاسل"/>
    <s v="طلبات الكاسل"/>
    <s v="شراء مديونية"/>
    <s v="غبر مهم"/>
    <s v="لم يرد"/>
    <s v="مرفوض"/>
    <m/>
    <d v="1899-12-30T00:10:16"/>
    <x v="1"/>
    <s v="الثلاثاء"/>
    <m/>
    <m/>
    <n v="0"/>
    <n v="1"/>
    <n v="0"/>
  </r>
  <r>
    <n v="4"/>
    <s v="فارس عبدالله ابراهيم المنصور"/>
    <n v="1094739476"/>
    <n v="5464"/>
    <n v="918273645"/>
    <s v="حضوري"/>
    <s v="طلبات الكاسل"/>
    <s v="تمويل إضافي"/>
    <s v="لم يستجب"/>
    <s v="لم يرد"/>
    <s v="مرفوض"/>
    <m/>
    <d v="1899-12-30T00:06:13"/>
    <x v="1"/>
    <s v="الثلاثاء"/>
    <m/>
    <m/>
    <n v="0"/>
    <n v="1"/>
    <n v="0"/>
  </r>
  <r>
    <n v="5"/>
    <s v="عبدالعزيز عبدالله علي الغامدي"/>
    <n v="1094739476"/>
    <n v="8441"/>
    <n v="203948576"/>
    <s v="إحالة من عميل"/>
    <s v="اتصال وارد"/>
    <s v="ايجارة"/>
    <s v="استجاب"/>
    <s v="مهتم"/>
    <s v="تم التسليم"/>
    <n v="85000"/>
    <d v="1899-12-30T00:08:18"/>
    <x v="1"/>
    <s v="الثلاثاء"/>
    <m/>
    <m/>
    <n v="1"/>
    <n v="0"/>
    <n v="1"/>
  </r>
  <r>
    <n v="6"/>
    <s v="اثير عبدالعزيز سعد السيف"/>
    <n v="1094739476"/>
    <n v="8411"/>
    <n v="657382910"/>
    <s v="بحث شخصي"/>
    <s v="إحالة من عميل"/>
    <s v="شراء مديونية"/>
    <s v="استجاب"/>
    <s v="مهتم"/>
    <s v="بانتظار المستندات"/>
    <m/>
    <d v="1899-12-30T00:09:13"/>
    <x v="2"/>
    <s v="الأربعاء"/>
    <m/>
    <m/>
    <n v="0"/>
    <n v="1"/>
    <n v="1"/>
  </r>
  <r>
    <n v="7"/>
    <s v="محمد بن علي بن محمد التويجري"/>
    <n v="1094739476"/>
    <n v="5741"/>
    <n v="481920374"/>
    <s v="CRM"/>
    <s v="بحث شخصي"/>
    <s v="تمويل إضافي"/>
    <s v="لم يستجب"/>
    <s v="المتابعة لاحقاً"/>
    <s v="سيتم رفع الطلب"/>
    <m/>
    <d v="1899-12-30T00:18:07"/>
    <x v="2"/>
    <s v="الأربعاء"/>
    <m/>
    <m/>
    <n v="0"/>
    <n v="1"/>
    <n v="0"/>
  </r>
  <r>
    <n v="8"/>
    <s v="علي بن محمد بن علي السلامه"/>
    <n v="1094739476"/>
    <n v="1221"/>
    <n v="739105826"/>
    <s v="بحث شخصي"/>
    <s v="طلبات الكاسل"/>
    <s v="ايجارة"/>
    <s v="استجاب"/>
    <s v="مهتم"/>
    <s v="تم التسليم"/>
    <n v="15000"/>
    <d v="1899-12-30T00:03:42"/>
    <x v="3"/>
    <s v="الخميس"/>
    <m/>
    <m/>
    <n v="1"/>
    <n v="0"/>
    <n v="1"/>
  </r>
  <r>
    <n v="9"/>
    <s v="عبدالله بن سعود عبدالعزيز الهزاع"/>
    <n v="1094739476"/>
    <n v="2211"/>
    <n v="120938475"/>
    <s v="إحالة من عميل"/>
    <s v="إحالة من عميل"/>
    <s v="تمويل إضافي"/>
    <s v="استجاب"/>
    <s v="مهتم"/>
    <s v="قبول عرض"/>
    <m/>
    <d v="1899-12-30T00:12:55"/>
    <x v="3"/>
    <s v="الخميس"/>
    <m/>
    <m/>
    <n v="0"/>
    <n v="1"/>
    <n v="1"/>
  </r>
  <r>
    <n v="10"/>
    <s v="شاهين بن عامر بن علي المطيري"/>
    <n v="1094739476"/>
    <n v="8442"/>
    <n v="564738291"/>
    <s v="حضوري"/>
    <s v="اتصال وارد"/>
    <s v="شراء مديونية"/>
    <s v="استجاب"/>
    <s v="مهتم"/>
    <s v="تم التسليم"/>
    <n v="52100"/>
    <d v="1899-12-30T00:00:36"/>
    <x v="3"/>
    <s v="الخميس"/>
    <m/>
    <m/>
    <n v="1"/>
    <n v="0"/>
    <n v="1"/>
  </r>
  <r>
    <n v="11"/>
    <s v="عبدالعزيز رجب عبدالعزيز جبارة"/>
    <n v="1094739476"/>
    <n v="9845"/>
    <n v="849102736"/>
    <s v="اتصال وارد"/>
    <s v="إحالة من عميل"/>
    <s v="تمويل إضافي"/>
    <s v="استجاب"/>
    <s v="مهتم"/>
    <s v="تم التسليم"/>
    <n v="49000"/>
    <d v="1899-12-30T00:20:03"/>
    <x v="3"/>
    <s v="الخميس"/>
    <m/>
    <m/>
    <n v="1"/>
    <n v="0"/>
    <n v="1"/>
  </r>
  <r>
    <n v="12"/>
    <s v="نورة بنت عبدالله العتيبي"/>
    <n v="1094739476"/>
    <n v="1568"/>
    <n v="374829105"/>
    <s v="طلبات الكاسل"/>
    <s v="طلبات الكاسل"/>
    <s v="تمويل إضافي"/>
    <s v="لم يستجب"/>
    <s v="المتابعة لاحقاً"/>
    <s v="سيتم رفع الطلب"/>
    <m/>
    <d v="1899-12-30T00:07:19"/>
    <x v="4"/>
    <s v="الجمعة"/>
    <m/>
    <m/>
    <n v="0"/>
    <n v="1"/>
    <n v="0"/>
  </r>
  <r>
    <n v="13"/>
    <s v="محمد بن علي بن محمد التويجري"/>
    <n v="1094739476"/>
    <n v="3695"/>
    <n v="910283746"/>
    <s v="قاعدة البيانات"/>
    <s v="بحث شخصي"/>
    <s v="ايجارة"/>
    <s v="لم يستجب"/>
    <s v="غير مهتم"/>
    <s v="مرفوض"/>
    <m/>
    <d v="1899-12-30T00:15:48"/>
    <x v="4"/>
    <s v="الجمعة"/>
    <m/>
    <m/>
    <n v="0"/>
    <n v="1"/>
    <n v="0"/>
  </r>
  <r>
    <n v="14"/>
    <s v="فاطمة بنت عبدالله المنصور"/>
    <n v="1094739476"/>
    <n v="3652"/>
    <n v="657483920"/>
    <s v="CRM"/>
    <s v="اتصال وارد"/>
    <s v="ايجارة"/>
    <s v="غبر مهم"/>
    <s v="الرقم غير صحيح"/>
    <s v="مرفوض"/>
    <m/>
    <d v="1899-12-30T00:09:04"/>
    <x v="5"/>
    <s v="السبت"/>
    <m/>
    <m/>
    <n v="0"/>
    <n v="1"/>
    <n v="0"/>
  </r>
  <r>
    <n v="15"/>
    <s v="ياسر الهزاع"/>
    <n v="1094739476"/>
    <n v="8461"/>
    <n v="382910475"/>
    <s v="طلبات الكاسل"/>
    <s v="طلبات الكاسل"/>
    <s v="ايجارة"/>
    <s v="استجاب"/>
    <s v="مهتم"/>
    <s v="تم التسليم"/>
    <n v="87000"/>
    <d v="1899-12-30T00:02:31"/>
    <x v="6"/>
    <s v="الأحد"/>
    <m/>
    <m/>
    <n v="1"/>
    <n v="0"/>
    <n v="1"/>
  </r>
  <r>
    <n v="16"/>
    <s v="رائد بن ماجد بن حمدان الشهري"/>
    <n v="1094739476"/>
    <n v="5678"/>
    <n v="746291038"/>
    <s v="طلبات الكاسل"/>
    <s v="حضوري"/>
    <s v="تمويل إضافي"/>
    <s v="استجاب"/>
    <s v="مهتم"/>
    <s v="سيتم رفع الطلب"/>
    <m/>
    <d v="1899-12-30T00:14:27"/>
    <x v="7"/>
    <s v="الإثنين"/>
    <m/>
    <m/>
    <n v="0"/>
    <n v="1"/>
    <n v="1"/>
  </r>
  <r>
    <n v="17"/>
    <s v="مروان بن محمد بن منصور الشمراني"/>
    <n v="1094739476"/>
    <n v="8563"/>
    <n v="192837465"/>
    <s v="إحالة من عميل"/>
    <s v="طلبات الكاسل"/>
    <s v="شراء مديونية"/>
    <s v="لم يستجب"/>
    <s v="غير مهتم"/>
    <s v="مرفوض"/>
    <m/>
    <d v="1899-12-30T00:19:58"/>
    <x v="7"/>
    <s v="الإثنين"/>
    <m/>
    <m/>
    <n v="0"/>
    <n v="1"/>
    <n v="0"/>
  </r>
  <r>
    <n v="18"/>
    <s v="سعد فهد البقمي"/>
    <n v="1094739476"/>
    <n v="5460"/>
    <n v="839201746"/>
    <s v="CRM"/>
    <s v="اتصال وارد"/>
    <s v="ايجارة"/>
    <s v="غبر مهم"/>
    <s v="الرقم غير صحيح"/>
    <s v="مرفوض"/>
    <m/>
    <d v="1899-12-30T00:05:06"/>
    <x v="8"/>
    <s v="الثلاثاء"/>
    <m/>
    <m/>
    <n v="0"/>
    <n v="1"/>
    <n v="0"/>
  </r>
  <r>
    <n v="19"/>
    <s v="علي بن جابر بن فهد الحربي"/>
    <n v="1094739476"/>
    <n v="1568"/>
    <n v="475829103"/>
    <s v="حضوري"/>
    <s v="اتصال وارد"/>
    <s v="تمويل إضافي"/>
    <s v="استجاب"/>
    <s v="مهتم"/>
    <s v="تم التسليم"/>
    <n v="52100"/>
    <d v="1899-12-30T00:11:39"/>
    <x v="9"/>
    <s v="الأربعاء"/>
    <m/>
    <m/>
    <n v="1"/>
    <n v="0"/>
    <n v="1"/>
  </r>
  <r>
    <n v="20"/>
    <s v="سلمى سالم السلامه"/>
    <n v="1094739476"/>
    <n v="5658"/>
    <n v="102938475"/>
    <s v="إحالة من عميل"/>
    <s v="إحالة من عميل"/>
    <s v="شراء مديونية"/>
    <s v="استجاب"/>
    <s v="مهتم"/>
    <s v="الائتمان"/>
    <m/>
    <d v="1899-12-30T00:08:22"/>
    <x v="9"/>
    <s v="الأربعاء"/>
    <m/>
    <m/>
    <n v="0"/>
    <n v="1"/>
    <n v="1"/>
  </r>
  <r>
    <n v="21"/>
    <s v="أميرة علي المنصور"/>
    <n v="1094739476"/>
    <n v="8471"/>
    <n v="564738920"/>
    <s v="إحالة من عميل"/>
    <s v="بحث شخصي"/>
    <s v="تمويل شخصي"/>
    <s v="استجاب"/>
    <s v="مهتم"/>
    <s v="تم التسليم"/>
    <n v="52000"/>
    <d v="1899-12-30T00:04:57"/>
    <x v="9"/>
    <s v="الأربعاء"/>
    <m/>
    <m/>
    <n v="1"/>
    <n v="0"/>
    <n v="1"/>
  </r>
  <r>
    <n v="22"/>
    <s v="مروه حمود الفداء"/>
    <n v="1094739476"/>
    <n v="5638"/>
    <n v="918374652"/>
    <s v="طلبات الكاسل"/>
    <s v="طلبات الكاسل"/>
    <s v="تمويل إضافي"/>
    <s v="غبر مهم"/>
    <s v="الرقم غير صحيح"/>
    <s v="مرفوض"/>
    <m/>
    <d v="1899-12-30T00:16:11"/>
    <x v="10"/>
    <s v="الخميس"/>
    <m/>
    <m/>
    <n v="0"/>
    <n v="1"/>
    <n v="0"/>
  </r>
  <r>
    <n v="23"/>
    <s v="عمر الشريف"/>
    <n v="1094739476"/>
    <n v="3682"/>
    <n v="203948571"/>
    <s v="إحالة من عميل"/>
    <s v="قاعدة البيانات"/>
    <s v="شراء مديونية"/>
    <s v="استجاب"/>
    <s v="المتابعة لاحقاً"/>
    <s v="بانتظار المستندات"/>
    <m/>
    <d v="1899-12-30T00:10:45"/>
    <x v="11"/>
    <s v="الجمعة"/>
    <m/>
    <m/>
    <n v="0"/>
    <n v="1"/>
    <n v="1"/>
  </r>
  <r>
    <n v="24"/>
    <s v="ماهر بن عبدالعزيز بن حسن الفداء"/>
    <n v="1094739476"/>
    <n v="1251"/>
    <n v="657382914"/>
    <s v="CRM"/>
    <s v="طلبات الكاسل"/>
    <s v="تمويل إضافي"/>
    <s v="غبر مهم"/>
    <s v="لم يرد"/>
    <s v="مرفوض"/>
    <m/>
    <d v="1899-12-30T00:06:13"/>
    <x v="12"/>
    <s v="السبت"/>
    <m/>
    <m/>
    <n v="0"/>
    <n v="1"/>
    <n v="0"/>
  </r>
  <r>
    <n v="25"/>
    <s v="حمد الدوسري"/>
    <n v="1094739476"/>
    <n v="5469"/>
    <n v="481920379"/>
    <s v="حضوري"/>
    <s v="إحالة من عميل"/>
    <s v="ايجارة"/>
    <s v="استجاب"/>
    <s v="مهتم"/>
    <s v="تم التسليم"/>
    <n v="69000"/>
    <d v="1899-12-30T00:13:02"/>
    <x v="13"/>
    <s v="الأحد"/>
    <m/>
    <m/>
    <n v="1"/>
    <n v="0"/>
    <n v="1"/>
  </r>
  <r>
    <n v="26"/>
    <s v="سلمى القحطاني"/>
    <n v="1094739476"/>
    <n v="1652"/>
    <n v="739105824"/>
    <s v="إحالة من عميل"/>
    <s v="اتصال وارد"/>
    <s v="تمويل شخصي"/>
    <s v="استجاب"/>
    <s v="غير مهتم"/>
    <s v="قبول عرض"/>
    <m/>
    <d v="1899-12-30T00:01:59"/>
    <x v="13"/>
    <s v="الأحد"/>
    <m/>
    <m/>
    <n v="0"/>
    <n v="1"/>
    <n v="1"/>
  </r>
  <r>
    <n v="27"/>
    <s v="سارة الحارثي"/>
    <n v="1094739476"/>
    <n v="5648"/>
    <n v="120938479"/>
    <s v="إحالة من عميل"/>
    <s v="بحث شخصي"/>
    <s v="ايجارة"/>
    <s v="لم يستجب"/>
    <s v="المتابعة لاحقاً"/>
    <s v="مرفوض"/>
    <m/>
    <d v="1899-12-30T00:17:33"/>
    <x v="13"/>
    <s v="الأحد"/>
    <m/>
    <m/>
    <n v="0"/>
    <n v="1"/>
    <n v="0"/>
  </r>
  <r>
    <n v="28"/>
    <s v="ضحى الشمراني"/>
    <n v="1094739476"/>
    <n v="8481"/>
    <n v="564738295"/>
    <s v="قاعدة البيانات"/>
    <s v="بحث شخصي"/>
    <s v="تمويل إضافي"/>
    <s v="استجاب"/>
    <s v="مهتم"/>
    <s v="تم التسليم"/>
    <n v="44800"/>
    <d v="1899-12-30T00:00:12"/>
    <x v="13"/>
    <s v="الأحد"/>
    <m/>
    <m/>
    <n v="1"/>
    <n v="0"/>
    <n v="1"/>
  </r>
  <r>
    <n v="29"/>
    <s v="ماجد البقمي"/>
    <n v="1094739476"/>
    <n v="1234"/>
    <n v="849102739"/>
    <s v="اتصال وارد"/>
    <s v="اتصال وارد"/>
    <s v="شراء مديونية"/>
    <s v="غبر مهم"/>
    <s v="الرقم غير صحيح"/>
    <s v="مرفوض"/>
    <m/>
    <d v="1899-12-30T00:07:51"/>
    <x v="14"/>
    <s v="الإثنين"/>
    <m/>
    <m/>
    <n v="0"/>
    <n v="1"/>
    <n v="0"/>
  </r>
  <r>
    <n v="30"/>
    <s v="سليمان المطيري"/>
    <n v="1094739476"/>
    <n v="8415"/>
    <n v="374829109"/>
    <s v="طلبات الكاسل"/>
    <s v="إحالة من عميل"/>
    <s v="ايجارة"/>
    <s v="استجاب"/>
    <s v="مهتم"/>
    <s v="تم التوقيع"/>
    <m/>
    <d v="1899-12-30T00:05:44"/>
    <x v="14"/>
    <s v="الإثنين"/>
    <m/>
    <m/>
    <n v="0"/>
    <n v="1"/>
    <n v="1"/>
  </r>
  <r>
    <n v="31"/>
    <s v="سليمان حمود الهزاع"/>
    <n v="1094739476"/>
    <n v="3697"/>
    <n v="910283749"/>
    <s v="حضوري"/>
    <s v="طلبات الكاسل"/>
    <s v="ايجارة"/>
    <s v="لم يستجب"/>
    <s v="المتابعة لاحقاً"/>
    <s v="تم التسليم"/>
    <n v="52100"/>
    <d v="1899-12-30T00:02:08"/>
    <x v="15"/>
    <s v="الثلاثاء"/>
    <m/>
    <m/>
    <n v="1"/>
    <n v="0"/>
    <n v="0"/>
  </r>
  <r>
    <n v="32"/>
    <s v="عمر بن سلمان بن سلمان الحارثي"/>
    <n v="1094739476"/>
    <n v="8421"/>
    <n v="657483924"/>
    <s v="إحالة من عميل"/>
    <s v="بحث شخصي"/>
    <s v="تمويل شخصي"/>
    <s v="استجاب"/>
    <s v="مهتم"/>
    <s v="سيتم رفع الطلب"/>
    <m/>
    <d v="1899-12-30T00:18:29"/>
    <x v="16"/>
    <s v="الأربعاء"/>
    <m/>
    <m/>
    <n v="0"/>
    <n v="1"/>
    <n v="1"/>
  </r>
  <r>
    <n v="33"/>
    <s v="بسمة الغامدي"/>
    <n v="1094739476"/>
    <n v="1568"/>
    <n v="382910479"/>
    <s v="حضوري"/>
    <s v="اتصال وارد"/>
    <s v="تمويل إضافي"/>
    <s v="استجاب"/>
    <s v="مهتم"/>
    <s v="قبول عرض"/>
    <m/>
    <d v="1899-12-30T00:12:07"/>
    <x v="17"/>
    <s v="الخميس"/>
    <m/>
    <m/>
    <n v="0"/>
    <n v="1"/>
    <n v="1"/>
  </r>
  <r>
    <n v="34"/>
    <s v="نجلاء جابر الحارثي"/>
    <n v="1094739476"/>
    <n v="6444"/>
    <n v="746291032"/>
    <s v="إحالة من عميل"/>
    <s v="طلبات الكاسل"/>
    <s v="شراء مديونية"/>
    <s v="استجاب"/>
    <s v="مهتم"/>
    <s v="تم التسليم"/>
    <n v="49000"/>
    <d v="1899-12-30T00:03:15"/>
    <x v="18"/>
    <s v="الجمعة"/>
    <m/>
    <m/>
    <n v="1"/>
    <n v="0"/>
    <n v="1"/>
  </r>
  <r>
    <n v="35"/>
    <s v="محمد بن علي العبدالله"/>
    <n v="1094739476"/>
    <n v="4589"/>
    <n v="192837469"/>
    <s v="بحث شخصي"/>
    <s v="قاعدة البيانات"/>
    <s v="تمويل شخصي"/>
    <s v="استجاب"/>
    <s v="مهتم"/>
    <s v="تم التسليم"/>
    <n v="65000"/>
    <d v="1899-12-30T00:09:37"/>
    <x v="19"/>
    <s v="السبت"/>
    <m/>
    <m/>
    <n v="1"/>
    <n v="0"/>
    <n v="1"/>
  </r>
  <r>
    <n v="36"/>
    <s v="محمد بن عبدالله العبدالله"/>
    <n v="1094739476"/>
    <n v="6251"/>
    <n v="839201742"/>
    <s v="CRM"/>
    <s v="بحث شخصي"/>
    <s v="تمويل إضافي"/>
    <s v="استجاب"/>
    <s v="مهتم"/>
    <s v="تم التسليم"/>
    <n v="33300"/>
    <d v="1899-12-30T00:14:03"/>
    <x v="20"/>
    <s v="الأحد"/>
    <m/>
    <m/>
    <n v="1"/>
    <n v="0"/>
    <n v="1"/>
  </r>
  <r>
    <n v="37"/>
    <s v="محمد بن سعود العبدالله"/>
    <n v="1094739476"/>
    <n v="3842"/>
    <n v="475829107"/>
    <s v="بحث شخصي"/>
    <s v="اتصال وارد"/>
    <s v="ايجارة"/>
    <s v="استجاب"/>
    <s v="مهتم"/>
    <s v="تم التوقيع"/>
    <m/>
    <d v="1899-12-30T00:04:21"/>
    <x v="21"/>
    <s v="الإثنين"/>
    <m/>
    <m/>
    <n v="0"/>
    <n v="1"/>
    <n v="1"/>
  </r>
  <r>
    <n v="38"/>
    <s v="أحمد بن خالد العبدالعزيز"/>
    <n v="1094739476"/>
    <n v="9871"/>
    <n v="102938479"/>
    <s v="إحالة من عميل"/>
    <s v="إحالة من عميل"/>
    <s v="شراء مديونية"/>
    <s v="استجاب"/>
    <s v="مهتم"/>
    <s v="التحقق"/>
    <m/>
    <d v="1899-12-30T00:19:10"/>
    <x v="22"/>
    <s v="الثلاثاء"/>
    <m/>
    <m/>
    <n v="0"/>
    <n v="1"/>
    <n v="1"/>
  </r>
  <r>
    <n v="39"/>
    <s v="نورة بنت سعود العتيبي"/>
    <n v="1094739476"/>
    <n v="9872"/>
    <n v="564738925"/>
    <s v="حضوري"/>
    <s v="بحث شخصي"/>
    <s v="تمويل إضافي"/>
    <s v="غبر مهم"/>
    <s v="لم يرد"/>
    <s v="مرفوض"/>
    <m/>
    <d v="1899-12-30T00:06:58"/>
    <x v="23"/>
    <s v="الأربعاء"/>
    <m/>
    <m/>
    <n v="0"/>
    <n v="1"/>
    <n v="0"/>
  </r>
  <r>
    <n v="40"/>
    <s v="مروه ابو العنين"/>
    <n v="1023698542"/>
    <n v="2365"/>
    <n v="56473685"/>
    <s v="CRM"/>
    <s v="طلبات الكاسل"/>
    <s v="شراء مديونية"/>
    <s v="استجاب"/>
    <s v="مهتم"/>
    <s v="تم التسليم"/>
    <n v="100000"/>
    <d v="1899-12-30T00:10:00"/>
    <x v="24"/>
    <s v="الخميس"/>
    <m/>
    <m/>
    <n v="1"/>
    <n v="0"/>
    <n v="1"/>
  </r>
  <r>
    <m/>
    <m/>
    <m/>
    <m/>
    <m/>
    <m/>
    <m/>
    <m/>
    <m/>
    <m/>
    <m/>
    <m/>
    <m/>
    <x v="25"/>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s v="علي الصحاف"/>
    <n v="1094739476"/>
    <n v="1234"/>
    <n v="523698741"/>
    <x v="0"/>
    <s v="طلبات الكاسل"/>
    <x v="0"/>
    <x v="0"/>
    <x v="0"/>
    <x v="0"/>
    <n v="12000"/>
    <d v="1899-12-30T00:02:13"/>
    <x v="0"/>
    <s v="الإثنين"/>
    <m/>
    <m/>
    <n v="1"/>
    <n v="0"/>
  </r>
  <r>
    <n v="2"/>
    <s v="أحمد بن فهد العبدالعزيز"/>
    <n v="1094739476"/>
    <n v="5678"/>
    <n v="537826758"/>
    <x v="1"/>
    <s v="حضوري"/>
    <x v="1"/>
    <x v="0"/>
    <x v="0"/>
    <x v="0"/>
    <m/>
    <d v="1899-12-30T00:05:10"/>
    <x v="1"/>
    <s v="الثلاثاء"/>
    <m/>
    <m/>
    <n v="1"/>
    <n v="0"/>
  </r>
  <r>
    <n v="3"/>
    <s v="مروان بن عبدالعزيز بن عبدالله الفداء"/>
    <n v="1094739476"/>
    <n v="6844"/>
    <n v="567827667"/>
    <x v="2"/>
    <s v="طلبات الكاسل"/>
    <x v="2"/>
    <x v="1"/>
    <x v="1"/>
    <x v="1"/>
    <m/>
    <d v="1899-12-30T00:10:16"/>
    <x v="1"/>
    <s v="الثلاثاء"/>
    <m/>
    <m/>
    <n v="0"/>
    <n v="1"/>
  </r>
  <r>
    <n v="4"/>
    <s v="فارس عبدالله ابراهيم المنصور"/>
    <n v="1094739476"/>
    <n v="5464"/>
    <n v="918273645"/>
    <x v="3"/>
    <s v="طلبات الكاسل"/>
    <x v="3"/>
    <x v="2"/>
    <x v="1"/>
    <x v="1"/>
    <m/>
    <d v="1899-12-30T00:06:13"/>
    <x v="1"/>
    <s v="الثلاثاء"/>
    <m/>
    <m/>
    <n v="0"/>
    <n v="1"/>
  </r>
  <r>
    <n v="5"/>
    <s v="عبدالعزيز عبدالله علي الغامدي"/>
    <n v="1094739476"/>
    <n v="8441"/>
    <n v="203948576"/>
    <x v="4"/>
    <s v="اتصال وارد"/>
    <x v="1"/>
    <x v="0"/>
    <x v="0"/>
    <x v="0"/>
    <n v="85000"/>
    <d v="1899-12-30T00:08:18"/>
    <x v="1"/>
    <s v="الثلاثاء"/>
    <m/>
    <m/>
    <n v="1"/>
    <n v="0"/>
  </r>
  <r>
    <n v="6"/>
    <s v="اثير عبدالعزيز سعد السيف"/>
    <n v="1094739476"/>
    <n v="8411"/>
    <n v="657382910"/>
    <x v="5"/>
    <s v="إحالة من عميل"/>
    <x v="2"/>
    <x v="0"/>
    <x v="0"/>
    <x v="2"/>
    <m/>
    <d v="1899-12-30T00:09:13"/>
    <x v="2"/>
    <s v="الأربعاء"/>
    <m/>
    <m/>
    <n v="0"/>
    <n v="1"/>
  </r>
  <r>
    <n v="7"/>
    <s v="محمد بن علي بن محمد التويجري"/>
    <n v="1094739476"/>
    <n v="5741"/>
    <n v="481920374"/>
    <x v="6"/>
    <s v="بحث شخصي"/>
    <x v="3"/>
    <x v="2"/>
    <x v="2"/>
    <x v="3"/>
    <m/>
    <d v="1899-12-30T00:18:07"/>
    <x v="2"/>
    <s v="الأربعاء"/>
    <m/>
    <m/>
    <n v="0"/>
    <n v="1"/>
  </r>
  <r>
    <n v="8"/>
    <s v="علي بن محمد بن علي السلامه"/>
    <n v="1094739476"/>
    <n v="1221"/>
    <n v="739105826"/>
    <x v="5"/>
    <s v="طلبات الكاسل"/>
    <x v="1"/>
    <x v="0"/>
    <x v="0"/>
    <x v="0"/>
    <n v="15000"/>
    <d v="1899-12-30T00:03:42"/>
    <x v="3"/>
    <s v="الخميس"/>
    <m/>
    <m/>
    <n v="1"/>
    <n v="0"/>
  </r>
  <r>
    <n v="9"/>
    <s v="عبدالله بن سعود عبدالعزيز الهزاع"/>
    <n v="1094739476"/>
    <n v="2211"/>
    <n v="120938475"/>
    <x v="4"/>
    <s v="إحالة من عميل"/>
    <x v="3"/>
    <x v="0"/>
    <x v="0"/>
    <x v="4"/>
    <m/>
    <d v="1899-12-30T00:12:55"/>
    <x v="3"/>
    <s v="الخميس"/>
    <m/>
    <m/>
    <n v="0"/>
    <n v="1"/>
  </r>
  <r>
    <n v="10"/>
    <s v="شاهين بن عامر بن علي المطيري"/>
    <n v="1094739476"/>
    <n v="8442"/>
    <n v="564738291"/>
    <x v="3"/>
    <s v="اتصال وارد"/>
    <x v="2"/>
    <x v="0"/>
    <x v="0"/>
    <x v="0"/>
    <n v="52100"/>
    <d v="1899-12-30T00:00:36"/>
    <x v="3"/>
    <s v="الخميس"/>
    <m/>
    <m/>
    <n v="1"/>
    <n v="0"/>
  </r>
  <r>
    <n v="11"/>
    <s v="عبدالعزيز رجب عبدالعزيز جبارة"/>
    <n v="1094739476"/>
    <n v="9845"/>
    <n v="849102736"/>
    <x v="1"/>
    <s v="إحالة من عميل"/>
    <x v="3"/>
    <x v="0"/>
    <x v="0"/>
    <x v="0"/>
    <n v="49000"/>
    <d v="1899-12-30T00:20:03"/>
    <x v="3"/>
    <s v="الخميس"/>
    <m/>
    <m/>
    <n v="1"/>
    <n v="0"/>
  </r>
  <r>
    <n v="12"/>
    <s v="نورة بنت عبدالله العتيبي"/>
    <n v="1094739476"/>
    <n v="1568"/>
    <n v="374829105"/>
    <x v="2"/>
    <s v="طلبات الكاسل"/>
    <x v="3"/>
    <x v="2"/>
    <x v="2"/>
    <x v="3"/>
    <m/>
    <d v="1899-12-30T00:07:19"/>
    <x v="4"/>
    <s v="الجمعة"/>
    <m/>
    <m/>
    <n v="0"/>
    <n v="1"/>
  </r>
  <r>
    <n v="13"/>
    <s v="محمد بن علي بن محمد التويجري"/>
    <n v="1094739476"/>
    <n v="3695"/>
    <n v="910283746"/>
    <x v="0"/>
    <s v="بحث شخصي"/>
    <x v="1"/>
    <x v="2"/>
    <x v="3"/>
    <x v="1"/>
    <m/>
    <d v="1899-12-30T00:15:48"/>
    <x v="4"/>
    <s v="الجمعة"/>
    <m/>
    <m/>
    <n v="0"/>
    <n v="1"/>
  </r>
  <r>
    <n v="14"/>
    <s v="فاطمة بنت عبدالله المنصور"/>
    <n v="1094739476"/>
    <n v="3652"/>
    <n v="657483920"/>
    <x v="6"/>
    <s v="اتصال وارد"/>
    <x v="1"/>
    <x v="1"/>
    <x v="4"/>
    <x v="1"/>
    <m/>
    <d v="1899-12-30T00:09:04"/>
    <x v="5"/>
    <s v="السبت"/>
    <m/>
    <m/>
    <n v="0"/>
    <n v="1"/>
  </r>
  <r>
    <n v="15"/>
    <s v="ياسر الهزاع"/>
    <n v="1094739476"/>
    <n v="8461"/>
    <n v="382910475"/>
    <x v="2"/>
    <s v="طلبات الكاسل"/>
    <x v="1"/>
    <x v="0"/>
    <x v="0"/>
    <x v="0"/>
    <n v="87000"/>
    <d v="1899-12-30T00:02:31"/>
    <x v="6"/>
    <s v="الأحد"/>
    <m/>
    <m/>
    <n v="1"/>
    <n v="0"/>
  </r>
  <r>
    <n v="16"/>
    <s v="رائد بن ماجد بن حمدان الشهري"/>
    <n v="1094739476"/>
    <n v="5678"/>
    <n v="746291038"/>
    <x v="2"/>
    <s v="حضوري"/>
    <x v="3"/>
    <x v="0"/>
    <x v="0"/>
    <x v="3"/>
    <m/>
    <d v="1899-12-30T00:14:27"/>
    <x v="7"/>
    <s v="الإثنين"/>
    <m/>
    <m/>
    <n v="0"/>
    <n v="1"/>
  </r>
  <r>
    <n v="17"/>
    <s v="مروان بن محمد بن منصور الشمراني"/>
    <n v="1094739476"/>
    <n v="8563"/>
    <n v="192837465"/>
    <x v="4"/>
    <s v="طلبات الكاسل"/>
    <x v="2"/>
    <x v="2"/>
    <x v="3"/>
    <x v="1"/>
    <m/>
    <d v="1899-12-30T00:19:58"/>
    <x v="7"/>
    <s v="الإثنين"/>
    <m/>
    <m/>
    <n v="0"/>
    <n v="1"/>
  </r>
  <r>
    <n v="18"/>
    <s v="سعد فهد البقمي"/>
    <n v="1094739476"/>
    <n v="5460"/>
    <n v="839201746"/>
    <x v="6"/>
    <s v="اتصال وارد"/>
    <x v="1"/>
    <x v="1"/>
    <x v="4"/>
    <x v="1"/>
    <m/>
    <d v="1899-12-30T00:05:06"/>
    <x v="8"/>
    <s v="الثلاثاء"/>
    <m/>
    <m/>
    <n v="0"/>
    <n v="1"/>
  </r>
  <r>
    <n v="19"/>
    <s v="علي بن جابر بن فهد الحربي"/>
    <n v="1094739476"/>
    <n v="1568"/>
    <n v="475829103"/>
    <x v="3"/>
    <s v="اتصال وارد"/>
    <x v="3"/>
    <x v="0"/>
    <x v="0"/>
    <x v="0"/>
    <n v="52100"/>
    <d v="1899-12-30T00:11:39"/>
    <x v="9"/>
    <s v="الأربعاء"/>
    <m/>
    <m/>
    <n v="1"/>
    <n v="0"/>
  </r>
  <r>
    <n v="20"/>
    <s v="سلمى سالم السلامه"/>
    <n v="1094739476"/>
    <n v="5658"/>
    <n v="102938475"/>
    <x v="4"/>
    <s v="إحالة من عميل"/>
    <x v="2"/>
    <x v="0"/>
    <x v="0"/>
    <x v="5"/>
    <m/>
    <d v="1899-12-30T00:08:22"/>
    <x v="9"/>
    <s v="الأربعاء"/>
    <m/>
    <m/>
    <n v="0"/>
    <n v="1"/>
  </r>
  <r>
    <n v="21"/>
    <s v="أميرة علي المنصور"/>
    <n v="1094739476"/>
    <n v="8471"/>
    <n v="564738920"/>
    <x v="4"/>
    <s v="بحث شخصي"/>
    <x v="0"/>
    <x v="0"/>
    <x v="0"/>
    <x v="0"/>
    <n v="52000"/>
    <d v="1899-12-30T00:04:57"/>
    <x v="9"/>
    <s v="الأربعاء"/>
    <m/>
    <m/>
    <n v="1"/>
    <n v="0"/>
  </r>
  <r>
    <n v="22"/>
    <s v="مروه حمود الفداء"/>
    <n v="1094739476"/>
    <n v="5638"/>
    <n v="918374652"/>
    <x v="2"/>
    <s v="طلبات الكاسل"/>
    <x v="3"/>
    <x v="1"/>
    <x v="4"/>
    <x v="1"/>
    <m/>
    <d v="1899-12-30T00:16:11"/>
    <x v="10"/>
    <s v="الخميس"/>
    <m/>
    <m/>
    <n v="0"/>
    <n v="1"/>
  </r>
  <r>
    <n v="23"/>
    <s v="عمر الشريف"/>
    <n v="1094739476"/>
    <n v="3682"/>
    <n v="203948571"/>
    <x v="4"/>
    <s v="قاعدة البيانات"/>
    <x v="2"/>
    <x v="0"/>
    <x v="2"/>
    <x v="2"/>
    <m/>
    <d v="1899-12-30T00:10:45"/>
    <x v="11"/>
    <s v="الجمعة"/>
    <m/>
    <m/>
    <n v="0"/>
    <n v="1"/>
  </r>
  <r>
    <n v="24"/>
    <s v="ماهر بن عبدالعزيز بن حسن الفداء"/>
    <n v="1094739476"/>
    <n v="1251"/>
    <n v="657382914"/>
    <x v="6"/>
    <s v="طلبات الكاسل"/>
    <x v="3"/>
    <x v="1"/>
    <x v="1"/>
    <x v="1"/>
    <m/>
    <d v="1899-12-30T00:06:13"/>
    <x v="12"/>
    <s v="السبت"/>
    <m/>
    <m/>
    <n v="0"/>
    <n v="1"/>
  </r>
  <r>
    <n v="25"/>
    <s v="حمد الدوسري"/>
    <n v="1094739476"/>
    <n v="5469"/>
    <n v="481920379"/>
    <x v="3"/>
    <s v="إحالة من عميل"/>
    <x v="1"/>
    <x v="0"/>
    <x v="0"/>
    <x v="0"/>
    <n v="69000"/>
    <d v="1899-12-30T00:13:02"/>
    <x v="13"/>
    <s v="الأحد"/>
    <m/>
    <m/>
    <n v="1"/>
    <n v="0"/>
  </r>
  <r>
    <n v="26"/>
    <s v="سلمى القحطاني"/>
    <n v="1094739476"/>
    <n v="1652"/>
    <n v="739105824"/>
    <x v="4"/>
    <s v="اتصال وارد"/>
    <x v="0"/>
    <x v="0"/>
    <x v="3"/>
    <x v="4"/>
    <m/>
    <d v="1899-12-30T00:01:59"/>
    <x v="13"/>
    <s v="الأحد"/>
    <m/>
    <m/>
    <n v="0"/>
    <n v="1"/>
  </r>
  <r>
    <n v="27"/>
    <s v="سارة الحارثي"/>
    <n v="1094739476"/>
    <n v="5648"/>
    <n v="120938479"/>
    <x v="4"/>
    <s v="بحث شخصي"/>
    <x v="1"/>
    <x v="2"/>
    <x v="2"/>
    <x v="1"/>
    <m/>
    <d v="1899-12-30T00:17:33"/>
    <x v="13"/>
    <s v="الأحد"/>
    <m/>
    <m/>
    <n v="0"/>
    <n v="1"/>
  </r>
  <r>
    <n v="28"/>
    <s v="ضحى الشمراني"/>
    <n v="1094739476"/>
    <n v="8481"/>
    <n v="564738295"/>
    <x v="0"/>
    <s v="بحث شخصي"/>
    <x v="3"/>
    <x v="0"/>
    <x v="0"/>
    <x v="0"/>
    <n v="44800"/>
    <d v="1899-12-30T00:00:12"/>
    <x v="13"/>
    <s v="الأحد"/>
    <m/>
    <m/>
    <n v="1"/>
    <n v="0"/>
  </r>
  <r>
    <n v="29"/>
    <s v="ماجد البقمي"/>
    <n v="1094739476"/>
    <n v="1234"/>
    <n v="849102739"/>
    <x v="1"/>
    <s v="اتصال وارد"/>
    <x v="2"/>
    <x v="1"/>
    <x v="4"/>
    <x v="1"/>
    <m/>
    <d v="1899-12-30T00:07:51"/>
    <x v="14"/>
    <s v="الإثنين"/>
    <m/>
    <m/>
    <n v="0"/>
    <n v="1"/>
  </r>
  <r>
    <n v="30"/>
    <s v="سليمان المطيري"/>
    <n v="1094739476"/>
    <n v="8415"/>
    <n v="374829109"/>
    <x v="2"/>
    <s v="إحالة من عميل"/>
    <x v="1"/>
    <x v="0"/>
    <x v="0"/>
    <x v="6"/>
    <m/>
    <d v="1899-12-30T00:05:44"/>
    <x v="14"/>
    <s v="الإثنين"/>
    <m/>
    <m/>
    <n v="0"/>
    <n v="1"/>
  </r>
  <r>
    <n v="31"/>
    <s v="سليمان حمود الهزاع"/>
    <n v="1094739476"/>
    <n v="3697"/>
    <n v="910283749"/>
    <x v="3"/>
    <s v="طلبات الكاسل"/>
    <x v="1"/>
    <x v="2"/>
    <x v="2"/>
    <x v="0"/>
    <n v="52100"/>
    <d v="1899-12-30T00:02:08"/>
    <x v="15"/>
    <s v="الثلاثاء"/>
    <m/>
    <m/>
    <n v="1"/>
    <n v="0"/>
  </r>
  <r>
    <n v="32"/>
    <s v="عمر بن سلمان بن سلمان الحارثي"/>
    <n v="1094739476"/>
    <n v="8421"/>
    <n v="657483924"/>
    <x v="4"/>
    <s v="بحث شخصي"/>
    <x v="0"/>
    <x v="0"/>
    <x v="0"/>
    <x v="3"/>
    <m/>
    <d v="1899-12-30T00:18:29"/>
    <x v="16"/>
    <s v="الأربعاء"/>
    <m/>
    <m/>
    <n v="0"/>
    <n v="1"/>
  </r>
  <r>
    <n v="33"/>
    <s v="بسمة الغامدي"/>
    <n v="1094739476"/>
    <n v="1568"/>
    <n v="382910479"/>
    <x v="3"/>
    <s v="اتصال وارد"/>
    <x v="3"/>
    <x v="0"/>
    <x v="0"/>
    <x v="4"/>
    <m/>
    <d v="1899-12-30T00:12:07"/>
    <x v="17"/>
    <s v="الخميس"/>
    <m/>
    <m/>
    <n v="0"/>
    <n v="1"/>
  </r>
  <r>
    <n v="34"/>
    <s v="نجلاء جابر الحارثي"/>
    <n v="1094739476"/>
    <n v="6444"/>
    <n v="746291032"/>
    <x v="4"/>
    <s v="طلبات الكاسل"/>
    <x v="2"/>
    <x v="0"/>
    <x v="0"/>
    <x v="0"/>
    <n v="49000"/>
    <d v="1899-12-30T00:03:15"/>
    <x v="18"/>
    <s v="الجمعة"/>
    <m/>
    <m/>
    <n v="1"/>
    <n v="0"/>
  </r>
  <r>
    <n v="35"/>
    <s v="محمد بن علي العبدالله"/>
    <n v="1094739476"/>
    <n v="4589"/>
    <n v="192837469"/>
    <x v="5"/>
    <s v="قاعدة البيانات"/>
    <x v="0"/>
    <x v="0"/>
    <x v="0"/>
    <x v="0"/>
    <n v="65000"/>
    <d v="1899-12-30T00:09:37"/>
    <x v="19"/>
    <s v="السبت"/>
    <m/>
    <m/>
    <n v="1"/>
    <n v="0"/>
  </r>
  <r>
    <n v="36"/>
    <s v="محمد بن عبدالله العبدالله"/>
    <n v="1094739476"/>
    <n v="6251"/>
    <n v="839201742"/>
    <x v="6"/>
    <s v="بحث شخصي"/>
    <x v="3"/>
    <x v="0"/>
    <x v="0"/>
    <x v="0"/>
    <n v="33300"/>
    <d v="1899-12-30T00:14:03"/>
    <x v="20"/>
    <s v="الأحد"/>
    <m/>
    <m/>
    <n v="1"/>
    <n v="0"/>
  </r>
  <r>
    <n v="37"/>
    <s v="محمد بن سعود العبدالله"/>
    <n v="1094739476"/>
    <n v="3842"/>
    <n v="475829107"/>
    <x v="5"/>
    <s v="اتصال وارد"/>
    <x v="1"/>
    <x v="0"/>
    <x v="0"/>
    <x v="6"/>
    <m/>
    <d v="1899-12-30T00:04:21"/>
    <x v="21"/>
    <s v="الإثنين"/>
    <m/>
    <m/>
    <n v="0"/>
    <n v="1"/>
  </r>
  <r>
    <n v="38"/>
    <s v="أحمد بن خالد العبدالعزيز"/>
    <n v="1094739476"/>
    <n v="9871"/>
    <n v="102938479"/>
    <x v="4"/>
    <s v="إحالة من عميل"/>
    <x v="2"/>
    <x v="0"/>
    <x v="0"/>
    <x v="7"/>
    <m/>
    <d v="1899-12-30T00:19:10"/>
    <x v="22"/>
    <s v="الثلاثاء"/>
    <m/>
    <m/>
    <n v="0"/>
    <n v="1"/>
  </r>
  <r>
    <n v="39"/>
    <s v="نورة بنت سعود العتيبي"/>
    <n v="1094739476"/>
    <n v="9872"/>
    <n v="564738925"/>
    <x v="3"/>
    <s v="بحث شخصي"/>
    <x v="3"/>
    <x v="1"/>
    <x v="1"/>
    <x v="1"/>
    <m/>
    <d v="1899-12-30T00:06:58"/>
    <x v="23"/>
    <s v="الأربعاء"/>
    <m/>
    <m/>
    <n v="0"/>
    <n v="1"/>
  </r>
  <r>
    <n v="40"/>
    <s v="مروه ابو العنين"/>
    <n v="1023698542"/>
    <n v="2365"/>
    <n v="56473685"/>
    <x v="6"/>
    <s v="طلبات الكاسل"/>
    <x v="2"/>
    <x v="0"/>
    <x v="0"/>
    <x v="0"/>
    <n v="100000"/>
    <d v="1899-12-30T00:10:00"/>
    <x v="24"/>
    <s v="الخميس"/>
    <m/>
    <m/>
    <n v="1"/>
    <n v="0"/>
  </r>
  <r>
    <m/>
    <m/>
    <m/>
    <m/>
    <m/>
    <x v="7"/>
    <m/>
    <x v="4"/>
    <x v="3"/>
    <x v="5"/>
    <x v="8"/>
    <m/>
    <m/>
    <x v="2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60DC9-2AD8-41C8-BA62-8D474F7A815F}" name="PivotTable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22">
    <pivotField showAll="0"/>
    <pivotField dataField="1"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showAll="0"/>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Items count="1">
    <i/>
  </colItems>
  <dataFields count="1">
    <dataField name="Count of الاسم"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53DEF3-D882-4674-9EE4-51F92E4A5F33}" name="PivotTable1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3:O13" firstHeaderRow="1" firstDataRow="1" firstDataCol="1"/>
  <pivotFields count="22">
    <pivotField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dataField="1" showAll="0"/>
    <pivotField showAll="0"/>
    <pivotField axis="axisRow" showAll="0">
      <items count="11">
        <item m="1" x="9"/>
        <item x="5"/>
        <item x="7"/>
        <item x="2"/>
        <item x="0"/>
        <item x="6"/>
        <item x="3"/>
        <item x="4"/>
        <item x="1"/>
        <item x="8"/>
        <item t="default"/>
      </items>
    </pivotField>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0"/>
  </rowFields>
  <rowItems count="10">
    <i>
      <x v="1"/>
    </i>
    <i>
      <x v="2"/>
    </i>
    <i>
      <x v="3"/>
    </i>
    <i>
      <x v="4"/>
    </i>
    <i>
      <x v="5"/>
    </i>
    <i>
      <x v="6"/>
    </i>
    <i>
      <x v="7"/>
    </i>
    <i>
      <x v="8"/>
    </i>
    <i>
      <x v="9"/>
    </i>
    <i t="grand">
      <x/>
    </i>
  </rowItems>
  <colItems count="1">
    <i/>
  </colItems>
  <dataFields count="1">
    <dataField name="Count of استجابة العميل" fld="8"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082EB-99AA-4B10-8E94-99CE13EE6B9C}" name="PivotTable2"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22">
    <pivotField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showAll="0"/>
    <pivotField showAll="0"/>
    <pivotField showAll="0"/>
    <pivotField showAll="0"/>
    <pivotField dataField="1"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Items count="1">
    <i/>
  </colItems>
  <dataFields count="1">
    <dataField name="Average of مدة المكالمة" fld="12" subtotal="average" baseField="0" baseItem="0" numFmtId="4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9FE85-D51B-4A2B-9D30-9E6DC7A7F766}" name="PivotTable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G3:AH10" firstHeaderRow="1" firstDataRow="1" firstDataCol="1"/>
  <pivotFields count="22">
    <pivotField showAll="0"/>
    <pivotField dataField="1" showAll="0"/>
    <pivotField showAll="0"/>
    <pivotField showAll="0"/>
    <pivotField showAll="0"/>
    <pivotField showAll="0"/>
    <pivotField showAll="0"/>
    <pivotField showAll="0">
      <items count="6">
        <item x="1"/>
        <item x="3"/>
        <item x="0"/>
        <item x="2"/>
        <item x="4"/>
        <item t="default"/>
      </items>
    </pivotField>
    <pivotField showAll="0" avgSubtotal="1"/>
    <pivotField axis="axisRow" showAll="0">
      <items count="7">
        <item x="4"/>
        <item x="2"/>
        <item x="3"/>
        <item x="1"/>
        <item x="0"/>
        <item x="5"/>
        <item t="default"/>
      </items>
    </pivotField>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9"/>
  </rowFields>
  <rowItems count="7">
    <i>
      <x/>
    </i>
    <i>
      <x v="1"/>
    </i>
    <i>
      <x v="2"/>
    </i>
    <i>
      <x v="3"/>
    </i>
    <i>
      <x v="4"/>
    </i>
    <i>
      <x v="5"/>
    </i>
    <i t="grand">
      <x/>
    </i>
  </rowItems>
  <colItems count="1">
    <i/>
  </colItems>
  <dataFields count="1">
    <dataField name="Count of الاسم"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8D59A0-BDB8-4C0C-A263-7E989FB52124}" name="PivotTable18" cacheId="8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D14:AE17" firstHeaderRow="1" firstDataRow="1" firstDataCol="1"/>
  <pivotFields count="22">
    <pivotField dataField="1"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dataField="1" showAll="0"/>
    <pivotField dataField="1"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2"/>
  </rowFields>
  <rowItems count="3">
    <i>
      <x/>
    </i>
    <i i="1">
      <x v="1"/>
    </i>
    <i i="2">
      <x v="2"/>
    </i>
  </rowItems>
  <colItems count="1">
    <i/>
  </colItems>
  <dataFields count="3">
    <dataField name="Average of المتبقي" fld="18" subtotal="average" baseField="0" baseItem="0" numFmtId="9"/>
    <dataField name="Average of تم_التسليم." fld="17" subtotal="average" baseField="0" baseItem="0" numFmtId="9"/>
    <dataField name="Average of تسلسل" fld="0" subtotal="average" showDataAs="percentOfTotal" baseField="0" baseItem="0" numFmtId="9"/>
  </dataFields>
  <chartFormats count="1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1">
          <reference field="4294967294" count="1" selected="0">
            <x v="0"/>
          </reference>
        </references>
      </pivotArea>
    </chartFormat>
    <chartFormat chart="25" format="8">
      <pivotArea type="data" outline="0" fieldPosition="0">
        <references count="1">
          <reference field="4294967294" count="1" selected="0">
            <x v="1"/>
          </reference>
        </references>
      </pivotArea>
    </chartFormat>
    <chartFormat chart="25" format="9">
      <pivotArea type="data" outline="0" fieldPosition="0">
        <references count="1">
          <reference field="4294967294" count="1" selected="0">
            <x v="2"/>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1">
          <reference field="4294967294" count="1" selected="0">
            <x v="0"/>
          </reference>
        </references>
      </pivotArea>
    </chartFormat>
    <chartFormat chart="26" format="12">
      <pivotArea type="data" outline="0" fieldPosition="0">
        <references count="1">
          <reference field="4294967294" count="1" selected="0">
            <x v="1"/>
          </reference>
        </references>
      </pivotArea>
    </chartFormat>
    <chartFormat chart="26" format="13">
      <pivotArea type="data" outline="0" fieldPosition="0">
        <references count="1">
          <reference field="4294967294" count="1" selected="0">
            <x v="2"/>
          </reference>
        </references>
      </pivotArea>
    </chartFormat>
    <chartFormat chart="23" format="14" series="1">
      <pivotArea type="data" outline="0" fieldPosition="0">
        <references count="1">
          <reference field="4294967294" count="1" selected="0">
            <x v="0"/>
          </reference>
        </references>
      </pivotArea>
    </chartFormat>
    <chartFormat chart="23" format="15">
      <pivotArea type="data" outline="0" fieldPosition="0">
        <references count="1">
          <reference field="4294967294" count="1" selected="0">
            <x v="0"/>
          </reference>
        </references>
      </pivotArea>
    </chartFormat>
    <chartFormat chart="23" format="16">
      <pivotArea type="data" outline="0" fieldPosition="0">
        <references count="1">
          <reference field="4294967294" count="1" selected="0">
            <x v="1"/>
          </reference>
        </references>
      </pivotArea>
    </chartFormat>
    <chartFormat chart="23" format="1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5EDBDB-7E5E-4A60-8582-8AB0D8F17791}" name="PivotTable22"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13" firstHeaderRow="1" firstDataRow="1" firstDataCol="1"/>
  <pivotFields count="22">
    <pivotField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dataField="1" showAll="0"/>
    <pivotField showAll="0"/>
    <pivotField axis="axisRow" showAll="0">
      <items count="11">
        <item m="1" x="9"/>
        <item x="5"/>
        <item x="7"/>
        <item x="2"/>
        <item x="0"/>
        <item x="6"/>
        <item x="3"/>
        <item x="4"/>
        <item x="1"/>
        <item x="8"/>
        <item t="default"/>
      </items>
    </pivotField>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0"/>
  </rowFields>
  <rowItems count="10">
    <i>
      <x v="1"/>
    </i>
    <i>
      <x v="2"/>
    </i>
    <i>
      <x v="3"/>
    </i>
    <i>
      <x v="4"/>
    </i>
    <i>
      <x v="5"/>
    </i>
    <i>
      <x v="6"/>
    </i>
    <i>
      <x v="7"/>
    </i>
    <i>
      <x v="8"/>
    </i>
    <i>
      <x v="9"/>
    </i>
    <i t="grand">
      <x/>
    </i>
  </rowItems>
  <colItems count="1">
    <i/>
  </colItems>
  <dataFields count="1">
    <dataField name="Count of استجابة العميل" fld="8" subtotal="count" showDataAs="percentOfTotal" baseField="1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8E955C-4F9B-4B35-89A1-C387452C197E}" name="PivotTable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P2:AP6" firstHeaderRow="1" firstDataRow="1" firstDataCol="1"/>
  <pivotFields count="22">
    <pivotField showAll="0"/>
    <pivotField showAll="0"/>
    <pivotField showAll="0"/>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axis="axisRow"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4">
        <item sd="0" x="1"/>
        <item x="0"/>
        <item x="2"/>
        <item t="default"/>
      </items>
    </pivotField>
  </pivotFields>
  <rowFields count="4">
    <field x="21"/>
    <field x="20"/>
    <field x="19"/>
    <field x="13"/>
  </rowFields>
  <rowItems count="4">
    <i>
      <x/>
    </i>
    <i>
      <x v="1"/>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425A86-B61C-49F7-8F51-14215798B757}" name="PivotTable1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8" firstHeaderRow="1" firstDataRow="1" firstDataCol="1"/>
  <pivotFields count="22">
    <pivotField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axis="axisRow" dataField="1" showAll="0" avgSubtotal="1">
      <items count="5">
        <item x="0"/>
        <item x="1"/>
        <item x="2"/>
        <item x="3"/>
        <item t="avg"/>
      </items>
    </pivotField>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8"/>
  </rowFields>
  <rowItems count="5">
    <i>
      <x/>
    </i>
    <i>
      <x v="1"/>
    </i>
    <i>
      <x v="2"/>
    </i>
    <i>
      <x v="3"/>
    </i>
    <i t="grand">
      <x/>
    </i>
  </rowItems>
  <colItems count="1">
    <i/>
  </colItems>
  <dataFields count="1">
    <dataField name="Count of استجابة العميل" fld="8" subtotal="count" showDataAs="percentOfTotal"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019527-87AE-4EA8-B994-622AD527D5A3}" name="PivotTable19"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22">
    <pivotField showAll="0"/>
    <pivotField showAll="0"/>
    <pivotField showAll="0"/>
    <pivotField showAll="0"/>
    <pivotField showAll="0"/>
    <pivotField showAll="0">
      <items count="9">
        <item x="6"/>
        <item x="1"/>
        <item x="4"/>
        <item x="5"/>
        <item x="3"/>
        <item x="2"/>
        <item x="0"/>
        <item x="7"/>
        <item t="default"/>
      </items>
    </pivotField>
    <pivotField showAll="0"/>
    <pivotField showAll="0">
      <items count="6">
        <item x="1"/>
        <item x="3"/>
        <item x="0"/>
        <item x="2"/>
        <item x="4"/>
        <item t="default"/>
      </items>
    </pivotField>
    <pivotField axis="axisRow" dataField="1" showAll="0">
      <items count="5">
        <item x="0"/>
        <item x="1"/>
        <item x="2"/>
        <item x="3"/>
        <item t="default"/>
      </items>
    </pivotField>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8"/>
  </rowFields>
  <rowItems count="5">
    <i>
      <x/>
    </i>
    <i>
      <x v="1"/>
    </i>
    <i>
      <x v="2"/>
    </i>
    <i>
      <x v="3"/>
    </i>
    <i t="grand">
      <x/>
    </i>
  </rowItems>
  <colItems count="1">
    <i/>
  </colItems>
  <dataFields count="1">
    <dataField name="Count of استجابة العميل"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FC0716-1C7A-41BB-AAC5-7CB8A2548D46}" name="PivotTable20"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T3:U12" firstHeaderRow="1" firstDataRow="1" firstDataCol="1"/>
  <pivotFields count="22">
    <pivotField showAll="0"/>
    <pivotField dataField="1" showAll="0"/>
    <pivotField showAll="0"/>
    <pivotField showAll="0"/>
    <pivotField showAll="0"/>
    <pivotField axis="axisRow" showAll="0">
      <items count="9">
        <item x="6"/>
        <item x="1"/>
        <item x="4"/>
        <item x="5"/>
        <item x="3"/>
        <item x="2"/>
        <item x="0"/>
        <item x="7"/>
        <item t="default"/>
      </items>
    </pivotField>
    <pivotField showAll="0"/>
    <pivotField showAll="0">
      <items count="6">
        <item x="1"/>
        <item x="3"/>
        <item x="0"/>
        <item x="2"/>
        <item x="4"/>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5"/>
  </rowFields>
  <rowItems count="9">
    <i>
      <x/>
    </i>
    <i>
      <x v="1"/>
    </i>
    <i>
      <x v="2"/>
    </i>
    <i>
      <x v="3"/>
    </i>
    <i>
      <x v="4"/>
    </i>
    <i>
      <x v="5"/>
    </i>
    <i>
      <x v="6"/>
    </i>
    <i>
      <x v="7"/>
    </i>
    <i t="grand">
      <x/>
    </i>
  </rowItems>
  <colItems count="1">
    <i/>
  </colItems>
  <dataFields count="1">
    <dataField name="Count of الاسم" fld="1" subtotal="count" baseField="0" baseItem="0"/>
  </dataFields>
  <chartFormats count="2">
    <chartFormat chart="13" format="3"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5C641D-83C4-4E2B-9522-6E6472BB338F}" name="PivotTable4"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B22:AD49" firstHeaderRow="0" firstDataRow="1" firstDataCol="1"/>
  <pivotFields count="23">
    <pivotField dataField="1" showAll="0"/>
    <pivotField showAll="0"/>
    <pivotField showAll="0"/>
    <pivotField showAll="0"/>
    <pivotField showAll="0"/>
    <pivotField showAll="0"/>
    <pivotField showAll="0"/>
    <pivotField showAll="0"/>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dataField="1" showAll="0"/>
    <pivotField axis="axisRow"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 showAll="0">
      <items count="4">
        <item x="1"/>
        <item x="0"/>
        <item x="2"/>
        <item t="default"/>
      </items>
    </pivotField>
  </pivotFields>
  <rowFields count="1">
    <field x="20"/>
  </rowFields>
  <rowItems count="27">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366"/>
    </i>
    <i t="grand">
      <x/>
    </i>
  </rowItems>
  <colFields count="1">
    <field x="-2"/>
  </colFields>
  <colItems count="2">
    <i>
      <x/>
    </i>
    <i i="1">
      <x v="1"/>
    </i>
  </colItems>
  <dataFields count="2">
    <dataField name="Count of تسلسل" fld="0" subtotal="count" baseField="5" baseItem="0"/>
    <dataField name="Sum of عدد الاستجابة" fld="19" baseField="0" baseItem="0"/>
  </dataFields>
  <chartFormats count="7">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101E98-404A-4C44-9724-EDF5F12A733E}" name="PivotTable1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3:X9" firstHeaderRow="1" firstDataRow="1" firstDataCol="1"/>
  <pivotFields count="22">
    <pivotField showAll="0"/>
    <pivotField showAll="0"/>
    <pivotField showAll="0"/>
    <pivotField showAll="0"/>
    <pivotField dataField="1" showAll="0"/>
    <pivotField showAll="0">
      <items count="9">
        <item x="6"/>
        <item x="1"/>
        <item x="4"/>
        <item x="5"/>
        <item x="3"/>
        <item x="2"/>
        <item x="0"/>
        <item x="7"/>
        <item t="default"/>
      </items>
    </pivotField>
    <pivotField showAll="0"/>
    <pivotField axis="axisRow" showAll="0">
      <items count="6">
        <item x="1"/>
        <item x="3"/>
        <item x="0"/>
        <item x="2"/>
        <item x="4"/>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x="0"/>
        <item x="1"/>
        <item x="2"/>
        <item x="3"/>
        <item x="4"/>
        <item x="5"/>
        <item x="6"/>
        <item x="7"/>
        <item x="8"/>
        <item x="9"/>
        <item x="10"/>
        <item x="11"/>
        <item x="12"/>
        <item x="13"/>
        <item x="14"/>
        <item x="15"/>
        <item x="16"/>
        <item x="17"/>
        <item x="18"/>
        <item x="25"/>
        <item x="19"/>
        <item x="20"/>
        <item x="21"/>
        <item x="22"/>
        <item x="23"/>
        <item x="24"/>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7"/>
  </rowFields>
  <rowItems count="6">
    <i>
      <x/>
    </i>
    <i>
      <x v="1"/>
    </i>
    <i>
      <x v="2"/>
    </i>
    <i>
      <x v="3"/>
    </i>
    <i>
      <x v="4"/>
    </i>
    <i t="grand">
      <x/>
    </i>
  </rowItems>
  <colItems count="1">
    <i/>
  </colItems>
  <dataFields count="1">
    <dataField name="Count of الجوال" fld="4" subtotal="count" baseField="7" baseItem="0"/>
  </dataFields>
  <chartFormats count="12">
    <chartFormat chart="15" format="17"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7" count="1" selected="0">
            <x v="3"/>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12" format="9">
      <pivotArea type="data" outline="0" fieldPosition="0">
        <references count="2">
          <reference field="4294967294" count="1" selected="0">
            <x v="0"/>
          </reference>
          <reference field="7" count="1" selected="0">
            <x v="3"/>
          </reference>
        </references>
      </pivotArea>
    </chartFormat>
    <chartFormat chart="12" format="10">
      <pivotArea type="data" outline="0" fieldPosition="0">
        <references count="2">
          <reference field="4294967294" count="1" selected="0">
            <x v="0"/>
          </reference>
          <reference field="7" count="1" selected="0">
            <x v="4"/>
          </reference>
        </references>
      </pivotArea>
    </chartFormat>
    <chartFormat chart="15" format="23">
      <pivotArea type="data" outline="0" fieldPosition="0">
        <references count="2">
          <reference field="4294967294" count="1" selected="0">
            <x v="0"/>
          </reference>
          <reference field="7" count="1" selected="0">
            <x v="0"/>
          </reference>
        </references>
      </pivotArea>
    </chartFormat>
    <chartFormat chart="15" format="24">
      <pivotArea type="data" outline="0" fieldPosition="0">
        <references count="2">
          <reference field="4294967294" count="1" selected="0">
            <x v="0"/>
          </reference>
          <reference field="7" count="1" selected="0">
            <x v="1"/>
          </reference>
        </references>
      </pivotArea>
    </chartFormat>
    <chartFormat chart="15" format="25">
      <pivotArea type="data" outline="0" fieldPosition="0">
        <references count="2">
          <reference field="4294967294" count="1" selected="0">
            <x v="0"/>
          </reference>
          <reference field="7" count="1" selected="0">
            <x v="2"/>
          </reference>
        </references>
      </pivotArea>
    </chartFormat>
    <chartFormat chart="15" format="2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A97600-51CB-4AF9-A8FF-66888DC761F6}" name="PivotTable9"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B5" firstHeaderRow="0" firstDataRow="1" firstDataCol="0" rowPageCount="1" colPageCount="1"/>
  <pivotFields count="5">
    <pivotField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pageFields count="1">
    <pageField fld="1" hier="46" name="[Table2].[التاريخ (Day)].[All]" cap="All"/>
  </pageFields>
  <dataFields count="2">
    <dataField name="Sum of عدد الطلبات المستهدفة" fld="2" baseField="0" baseItem="0"/>
    <dataField name="Count of رقم الطلب" fld="3" subtotal="count" baseField="0" baseItem="0"/>
  </dataFields>
  <chartFormats count="4">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عدد الطلبات المستهدفة"/>
    <pivotHierarchy dragToData="1" caption="Count of عدد الطلبات المستهدفة"/>
    <pivotHierarchy dragToData="1"/>
    <pivotHierarchy dragToData="1" caption="Count of رقم الطلب"/>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اريخ" xr10:uid="{6898BCEB-4D01-4BFD-80CD-D86BD86CB4D3}" sourceName="[Table1].[التاريخ]">
  <pivotTables>
    <pivotTable tabId="6" name="PivotTable9"/>
  </pivotTables>
  <data>
    <olap pivotCacheId="556644601">
      <levels count="2">
        <level uniqueName="[Table1].[التاريخ].[(All)]" sourceCaption="(All)" count="0"/>
        <level uniqueName="[Table1].[التاريخ].[التاريخ]" sourceCaption="التاريخ" count="30">
          <ranges>
            <range startItem="0">
              <i n="[Table1].[التاريخ].&amp;[2025-09-01T00:00:00]" c="01/09/2025"/>
              <i n="[Table1].[التاريخ].&amp;[2025-09-02T00:00:00]" c="02/09/2025"/>
              <i n="[Table1].[التاريخ].&amp;[2025-09-03T00:00:00]" c="03/09/2025"/>
              <i n="[Table1].[التاريخ].&amp;[2025-09-04T00:00:00]" c="04/09/2025"/>
              <i n="[Table1].[التاريخ].&amp;[2025-09-05T00:00:00]" c="05/09/2025"/>
              <i n="[Table1].[التاريخ].&amp;[2025-09-06T00:00:00]" c="06/09/2025"/>
              <i n="[Table1].[التاريخ].&amp;[2025-09-07T00:00:00]" c="07/09/2025"/>
              <i n="[Table1].[التاريخ].&amp;[2025-09-08T00:00:00]" c="08/09/2025"/>
              <i n="[Table1].[التاريخ].&amp;[2025-09-09T00:00:00]" c="09/09/2025"/>
              <i n="[Table1].[التاريخ].&amp;[2025-09-10T00:00:00]" c="10/09/2025"/>
              <i n="[Table1].[التاريخ].&amp;[2025-09-11T00:00:00]" c="11/09/2025"/>
              <i n="[Table1].[التاريخ].&amp;[2025-09-12T00:00:00]" c="12/09/2025"/>
              <i n="[Table1].[التاريخ].&amp;[2025-09-13T00:00:00]" c="13/09/2025"/>
              <i n="[Table1].[التاريخ].&amp;[2025-09-14T00:00:00]" c="14/09/2025"/>
              <i n="[Table1].[التاريخ].&amp;[2025-09-15T00:00:00]" c="15/09/2025"/>
              <i n="[Table1].[التاريخ].&amp;[2025-09-16T00:00:00]" c="16/09/2025"/>
              <i n="[Table1].[التاريخ].&amp;[2025-09-17T00:00:00]" c="17/09/2025"/>
              <i n="[Table1].[التاريخ].&amp;[2025-09-18T00:00:00]" c="18/09/2025"/>
              <i n="[Table1].[التاريخ].&amp;[2025-09-19T00:00:00]" c="19/09/2025"/>
              <i n="[Table1].[التاريخ].&amp;[2025-09-20T00:00:00]" c="20/09/2025"/>
              <i n="[Table1].[التاريخ].&amp;[2025-09-21T00:00:00]" c="21/09/2025"/>
              <i n="[Table1].[التاريخ].&amp;[2025-09-22T00:00:00]" c="22/09/2025"/>
              <i n="[Table1].[التاريخ].&amp;[2025-09-23T00:00:00]" c="23/09/2025"/>
              <i n="[Table1].[التاريخ].&amp;[2025-09-24T00:00:00]" c="24/09/2025"/>
              <i n="[Table1].[التاريخ].&amp;[2025-09-25T00:00:00]" c="25/09/2025"/>
              <i n="[Table1].[التاريخ].&amp;[2025-09-26T00:00:00]" c="26/09/2025"/>
              <i n="[Table1].[التاريخ].&amp;[2025-09-27T00:00:00]" c="27/09/2025"/>
              <i n="[Table1].[التاريخ].&amp;[2025-09-28T00:00:00]" c="28/09/2025"/>
              <i n="[Table1].[التاريخ].&amp;[2025-09-29T00:00:00]" c="29/09/2025"/>
              <i n="[Table1].[التاريخ].&amp;[2025-09-30T00:00:00]" c="30/09/2025"/>
            </range>
          </ranges>
        </level>
      </levels>
      <selections count="1">
        <selection n="[Table1].[التاريخ].[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صدر_العميل" xr10:uid="{E825CA5E-D5D3-46B5-8D98-8DF8C5950512}" sourceName="مصدر العميل">
  <pivotTables>
    <pivotTable tabId="2" name="PivotTable20"/>
    <pivotTable tabId="2" name="PivotTable5"/>
    <pivotTable tabId="2" name="PivotTable13"/>
    <pivotTable tabId="2" name="PivotTable15"/>
    <pivotTable tabId="2" name="PivotTable16"/>
    <pivotTable tabId="2" name="PivotTable18"/>
    <pivotTable tabId="2" name="PivotTable19"/>
    <pivotTable tabId="2" name="PivotTable2"/>
    <pivotTable tabId="2" name="PivotTable22"/>
  </pivotTables>
  <data>
    <tabular pivotCacheId="553933083">
      <items count="8">
        <i x="6" s="1"/>
        <i x="1" s="1"/>
        <i x="4" s="1"/>
        <i x="5" s="1"/>
        <i x="3" s="1"/>
        <i x="2"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_المناسب" xr10:uid="{7AA015A5-F3A5-4B5A-B631-62EB4538D24E}" sourceName="المنتج المناسب">
  <pivotTables>
    <pivotTable tabId="2" name="PivotTable20"/>
    <pivotTable tabId="2" name="PivotTable13"/>
    <pivotTable tabId="2" name="PivotTable15"/>
    <pivotTable tabId="2" name="PivotTable16"/>
    <pivotTable tabId="2" name="PivotTable18"/>
    <pivotTable tabId="2" name="PivotTable19"/>
    <pivotTable tabId="2" name="PivotTable2"/>
    <pivotTable tabId="2" name="PivotTable22"/>
    <pivotTable tabId="2" name="PivotTable3"/>
    <pivotTable tabId="2" name="PivotTable7"/>
    <pivotTable tabId="2" name="PivotTable5"/>
  </pivotTables>
  <data>
    <tabular pivotCacheId="553933083">
      <items count="5">
        <i x="1" s="1"/>
        <i x="3"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اريخ 1" xr10:uid="{07CDCDFD-D49B-4A71-8E51-03C8187A4884}" cache="Slicer_التاريخ" caption="التاريخ" level="1" style="SlicerStyleOther1" rowHeight="252000"/>
  <slicer name="مصدر العميل" xr10:uid="{07D10E85-E2D2-4002-950A-DB8C5D3BD764}" cache="Slicer_مصدر_العميل" caption="مصدر العميل" style="SlicerStyleOther1" rowHeight="252000"/>
  <slicer name="المنتج المناسب" xr10:uid="{DA0F9AEF-0C23-4211-934C-EFEAA8713AF1}" cache="Slicer_المنتج_المناسب" caption="المنتج المناسب" style="SlicerStyleOther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اريخ" xr10:uid="{FC5690C3-D012-411E-9B26-C41A7341E3C2}" cache="Slicer_التاريخ" caption="التاريخ"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B68B2E-3633-41A4-8CE9-5F018352896C}" name="Table2" displayName="Table2" ref="A1:T41" headerRowDxfId="44" dataDxfId="43">
  <tableColumns count="20">
    <tableColumn id="1" xr3:uid="{B94933CA-1E23-496A-8421-A1E4BA61B4CE}" name="تسلسل" totalsRowLabel="Total" dataDxfId="42" totalsRowDxfId="41"/>
    <tableColumn id="2" xr3:uid="{ADF8D5A0-535F-4E9E-98E4-2CD79EA58936}" name="الاسم" dataDxfId="40" totalsRowDxfId="39"/>
    <tableColumn id="3" xr3:uid="{66BF6B82-DBFA-4B4F-B291-207F0EEC7D40}" name="الهوية" dataDxfId="38" totalsRowDxfId="37"/>
    <tableColumn id="4" xr3:uid="{F5CF1487-1D31-4557-8930-10CBB49C1DE1}" name="رقم الطلب" dataDxfId="36" totalsRowDxfId="35"/>
    <tableColumn id="5" xr3:uid="{5A9B7338-A10F-4C6B-B737-4ABE3CCF99F6}" name="الجوال" dataDxfId="34" totalsRowDxfId="33"/>
    <tableColumn id="6" xr3:uid="{494AE537-0FB2-4D88-B829-C9C20B495635}" name="مصدر العميل" dataDxfId="32" totalsRowDxfId="31"/>
    <tableColumn id="7" xr3:uid="{1D1BE206-209D-46C5-8B6B-7A916FA8C3AF}" name="طريقة التواصل" dataDxfId="30" totalsRowDxfId="29"/>
    <tableColumn id="8" xr3:uid="{F7812FD9-E950-442B-86EF-15AC8DDA4A64}" name="المنتج المناسب" dataDxfId="28" totalsRowDxfId="27"/>
    <tableColumn id="9" xr3:uid="{0AE8F0CE-A251-448A-86C9-8849EEA7CEA1}" name="استجابة العميل" dataDxfId="26" totalsRowDxfId="25"/>
    <tableColumn id="10" xr3:uid="{583FEF32-F91B-4749-8EB1-FBB2B05FC406}" name="حالة العميل" dataDxfId="24" totalsRowDxfId="23"/>
    <tableColumn id="11" xr3:uid="{E95FA2ED-D5E5-4AC4-B385-876D052ED275}" name="حالة الطلب" dataDxfId="22" totalsRowDxfId="21"/>
    <tableColumn id="12" xr3:uid="{97C863BF-823F-4057-AD1D-F78BFFEC7CB4}" name="مبلغ التمويل" dataDxfId="20" totalsRowDxfId="19"/>
    <tableColumn id="13" xr3:uid="{10497168-986D-4A08-958B-65DC20759828}" name="مدة المكالمة" dataDxfId="18" totalsRowDxfId="17"/>
    <tableColumn id="14" xr3:uid="{C3D1EDF8-80F6-495F-977C-4C4344D9ED1F}" name="التاريخ" dataDxfId="16" totalsRowDxfId="15"/>
    <tableColumn id="15" xr3:uid="{A3D0F281-1669-4B18-A556-5AB4E192B8AA}" name="اليوم" dataDxfId="14" totalsRowDxfId="13">
      <calculatedColumnFormula>IF(N2="","",TEXT(N2,"dddd"))</calculatedColumnFormula>
    </tableColumn>
    <tableColumn id="16" xr3:uid="{2A5AC17A-7CB2-41FF-84BE-EA4FE55F6001}" name="سبب الرفض" dataDxfId="12" totalsRowDxfId="11"/>
    <tableColumn id="17" xr3:uid="{36D573CC-0557-4588-94DF-965BCEA636D8}" name="ملاحظات" dataDxfId="10" totalsRowDxfId="9"/>
    <tableColumn id="18" xr3:uid="{395B1D00-4D7F-4CDD-9DA1-F5956314E903}" name="تم_التسليم." dataDxfId="8" totalsRowDxfId="7">
      <calculatedColumnFormula>IF('data table'!$K2="تم التسليم",1,IF('data table'!$K2="", "",0))</calculatedColumnFormula>
    </tableColumn>
    <tableColumn id="19" xr3:uid="{A639BC14-F679-4ACE-A897-4B8053C3873E}" name="المتبقي" totalsRowFunction="sum" dataDxfId="6" totalsRowDxfId="5">
      <calculatedColumnFormula>IF(ISBLANK(R2),1,1-R2)</calculatedColumnFormula>
    </tableColumn>
    <tableColumn id="20" xr3:uid="{34F72B1B-DCE6-44AD-9147-C5076AAD2554}" name="عدد الاستجابة" dataDxfId="4">
      <calculatedColumnFormula>IF(Table2[[#This Row],[استجابة العميل]]="","",IF(Table2[[#This Row],[استجابة العميل]]="استجاب",1,0))</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351C9-7ED5-47F0-8A6E-8DEDA52796C0}" name="Table1" displayName="Table1" ref="V1:W31" totalsRowShown="0" headerRowDxfId="3" dataDxfId="2">
  <autoFilter ref="V1:W31" xr:uid="{A0F351C9-7ED5-47F0-8A6E-8DEDA52796C0}"/>
  <tableColumns count="2">
    <tableColumn id="1" xr3:uid="{F55FAE81-E2E8-4AD7-81C6-5F37F59774A3}" name="التاريخ " dataDxfId="1"/>
    <tableColumn id="2" xr3:uid="{BA5BDF16-938E-44DA-AA28-5774AA7C39D9}" name="عدد الطلبات المستهدفة " dataDxfId="0"/>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Custom 3">
      <a:dk1>
        <a:srgbClr val="14213D"/>
      </a:dk1>
      <a:lt1>
        <a:srgbClr val="FFFFFF"/>
      </a:lt1>
      <a:dk2>
        <a:srgbClr val="E5E5E5"/>
      </a:dk2>
      <a:lt2>
        <a:srgbClr val="FFFFFF"/>
      </a:lt2>
      <a:accent1>
        <a:srgbClr val="14213D"/>
      </a:accent1>
      <a:accent2>
        <a:srgbClr val="FCA311"/>
      </a:accent2>
      <a:accent3>
        <a:srgbClr val="E5E5E5"/>
      </a:accent3>
      <a:accent4>
        <a:srgbClr val="FFC000"/>
      </a:accent4>
      <a:accent5>
        <a:srgbClr val="E5E5E5"/>
      </a:accent5>
      <a:accent6>
        <a:srgbClr val="E5E5E5"/>
      </a:accent6>
      <a:hlink>
        <a:srgbClr val="14213D"/>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6894-4D55-471F-9615-8FA0380FDE12}">
  <dimension ref="A1"/>
  <sheetViews>
    <sheetView showGridLines="0" rightToLeft="1" tabSelected="1" zoomScale="55" zoomScaleNormal="55" workbookViewId="0">
      <selection activeCell="E34" sqref="E34"/>
    </sheetView>
  </sheetViews>
  <sheetFormatPr defaultRowHeight="14.4" x14ac:dyDescent="0.55000000000000004"/>
  <cols>
    <col min="6" max="6" width="5.10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E321-F8F5-4D94-9BFD-8F015C788239}">
  <dimension ref="F2:AR49"/>
  <sheetViews>
    <sheetView rightToLeft="1" zoomScale="85" zoomScaleNormal="85" workbookViewId="0">
      <selection activeCell="G17" sqref="G17"/>
    </sheetView>
  </sheetViews>
  <sheetFormatPr defaultRowHeight="14.4" x14ac:dyDescent="0.55000000000000004"/>
  <cols>
    <col min="3" max="3" width="12" bestFit="1" customWidth="1"/>
    <col min="6" max="7" width="11.9453125" bestFit="1" customWidth="1"/>
    <col min="8" max="8" width="12.26171875" bestFit="1" customWidth="1"/>
    <col min="9" max="9" width="18.05078125" bestFit="1" customWidth="1"/>
    <col min="11" max="11" width="12.26171875" bestFit="1" customWidth="1"/>
    <col min="12" max="12" width="18.5234375" bestFit="1" customWidth="1"/>
    <col min="14" max="14" width="12.41796875" bestFit="1" customWidth="1"/>
    <col min="15" max="15" width="18.5234375" bestFit="1" customWidth="1"/>
    <col min="16" max="16" width="14.89453125" customWidth="1"/>
    <col min="17" max="17" width="12.41796875" bestFit="1" customWidth="1"/>
    <col min="18" max="18" width="18.5234375" bestFit="1" customWidth="1"/>
    <col min="20" max="20" width="12.26171875" bestFit="1" customWidth="1"/>
    <col min="21" max="21" width="11.9453125" bestFit="1" customWidth="1"/>
    <col min="23" max="23" width="12.26171875" bestFit="1" customWidth="1"/>
    <col min="24" max="24" width="12.578125" bestFit="1" customWidth="1"/>
    <col min="26" max="26" width="12.26171875" bestFit="1" customWidth="1"/>
    <col min="27" max="27" width="13.1015625" bestFit="1" customWidth="1"/>
    <col min="28" max="28" width="12.26171875" bestFit="1" customWidth="1"/>
    <col min="29" max="29" width="13.1015625" bestFit="1" customWidth="1"/>
    <col min="30" max="30" width="17.26171875" bestFit="1" customWidth="1"/>
    <col min="31" max="31" width="5.05078125" bestFit="1" customWidth="1"/>
    <col min="32" max="32" width="13.1015625" bestFit="1" customWidth="1"/>
    <col min="33" max="33" width="12.26171875" bestFit="1" customWidth="1"/>
    <col min="34" max="34" width="11.9453125" bestFit="1" customWidth="1"/>
    <col min="35" max="35" width="13.26171875" bestFit="1" customWidth="1"/>
    <col min="36" max="36" width="13.1015625" bestFit="1" customWidth="1"/>
    <col min="37" max="37" width="12.83984375" bestFit="1" customWidth="1"/>
    <col min="38" max="38" width="14.83984375" bestFit="1" customWidth="1"/>
    <col min="40" max="40" width="17.68359375" customWidth="1"/>
    <col min="41" max="41" width="11.05078125" bestFit="1" customWidth="1"/>
    <col min="42" max="42" width="15" bestFit="1" customWidth="1"/>
    <col min="43" max="51" width="14.89453125" bestFit="1" customWidth="1"/>
    <col min="52" max="52" width="10.20703125" bestFit="1" customWidth="1"/>
  </cols>
  <sheetData>
    <row r="2" spans="6:44" x14ac:dyDescent="0.55000000000000004">
      <c r="AK2" s="9"/>
      <c r="AP2" s="1" t="s">
        <v>84</v>
      </c>
    </row>
    <row r="3" spans="6:44" x14ac:dyDescent="0.55000000000000004">
      <c r="H3" s="1" t="s">
        <v>84</v>
      </c>
      <c r="I3" t="s">
        <v>89</v>
      </c>
      <c r="K3" s="1" t="s">
        <v>84</v>
      </c>
      <c r="L3" t="s">
        <v>89</v>
      </c>
      <c r="N3" s="1" t="s">
        <v>84</v>
      </c>
      <c r="O3" t="s">
        <v>89</v>
      </c>
      <c r="Q3" s="1" t="s">
        <v>84</v>
      </c>
      <c r="R3" t="s">
        <v>89</v>
      </c>
      <c r="T3" s="1" t="s">
        <v>84</v>
      </c>
      <c r="U3" t="s">
        <v>131</v>
      </c>
      <c r="W3" s="1" t="s">
        <v>84</v>
      </c>
      <c r="X3" t="s">
        <v>87</v>
      </c>
      <c r="AD3" s="2"/>
      <c r="AG3" s="1" t="s">
        <v>84</v>
      </c>
      <c r="AH3" t="s">
        <v>131</v>
      </c>
      <c r="AP3" s="2" t="s">
        <v>91</v>
      </c>
    </row>
    <row r="4" spans="6:44" x14ac:dyDescent="0.55000000000000004">
      <c r="H4" s="2" t="s">
        <v>23</v>
      </c>
      <c r="I4" s="23">
        <v>26</v>
      </c>
      <c r="J4">
        <f>GETPIVOTDATA("استجابة العميل",$H$3,"استجابة العميل","استجاب")</f>
        <v>26</v>
      </c>
      <c r="K4" s="2" t="s">
        <v>23</v>
      </c>
      <c r="L4" s="4">
        <v>0.65</v>
      </c>
      <c r="M4" s="4">
        <f>GETPIVOTDATA("استجابة العميل",$K$3,"استجابة العميل","استجاب")</f>
        <v>0.65</v>
      </c>
      <c r="N4" s="2" t="s">
        <v>64</v>
      </c>
      <c r="O4" s="23">
        <v>1</v>
      </c>
      <c r="Q4" s="2" t="s">
        <v>64</v>
      </c>
      <c r="R4" s="4">
        <v>2.5000000000000001E-2</v>
      </c>
      <c r="T4" s="2" t="s">
        <v>45</v>
      </c>
      <c r="U4" s="23">
        <v>6</v>
      </c>
      <c r="W4" s="2" t="s">
        <v>29</v>
      </c>
      <c r="X4" s="23">
        <v>12</v>
      </c>
      <c r="AD4" s="2"/>
      <c r="AG4" s="2" t="s">
        <v>57</v>
      </c>
      <c r="AH4" s="23">
        <v>4</v>
      </c>
      <c r="AP4" s="2" t="s">
        <v>103</v>
      </c>
    </row>
    <row r="5" spans="6:44" x14ac:dyDescent="0.55000000000000004">
      <c r="H5" s="2" t="s">
        <v>33</v>
      </c>
      <c r="I5" s="23">
        <v>7</v>
      </c>
      <c r="K5" s="2" t="s">
        <v>33</v>
      </c>
      <c r="L5" s="4">
        <v>0.17499999999999999</v>
      </c>
      <c r="N5" s="2" t="s">
        <v>25</v>
      </c>
      <c r="O5" s="23">
        <v>1</v>
      </c>
      <c r="Q5" s="2" t="s">
        <v>25</v>
      </c>
      <c r="R5" s="4">
        <v>2.5000000000000001E-2</v>
      </c>
      <c r="T5" s="2" t="s">
        <v>27</v>
      </c>
      <c r="U5" s="23">
        <v>3</v>
      </c>
      <c r="W5" s="2" t="s">
        <v>37</v>
      </c>
      <c r="X5" s="23">
        <v>13</v>
      </c>
      <c r="AD5" s="2"/>
      <c r="AG5" s="2" t="s">
        <v>46</v>
      </c>
      <c r="AH5" s="23">
        <v>5</v>
      </c>
      <c r="AP5" s="10" t="s">
        <v>103</v>
      </c>
    </row>
    <row r="6" spans="6:44" x14ac:dyDescent="0.55000000000000004">
      <c r="H6" s="2" t="s">
        <v>38</v>
      </c>
      <c r="I6" s="23">
        <v>7</v>
      </c>
      <c r="K6" s="2" t="s">
        <v>38</v>
      </c>
      <c r="L6" s="4">
        <v>0.17499999999999999</v>
      </c>
      <c r="N6" s="2" t="s">
        <v>43</v>
      </c>
      <c r="O6" s="23">
        <v>2</v>
      </c>
      <c r="Q6" s="2" t="s">
        <v>43</v>
      </c>
      <c r="R6" s="4">
        <v>0.05</v>
      </c>
      <c r="T6" s="2" t="s">
        <v>40</v>
      </c>
      <c r="U6" s="23">
        <v>11</v>
      </c>
      <c r="W6" s="2" t="s">
        <v>22</v>
      </c>
      <c r="X6" s="23">
        <v>5</v>
      </c>
      <c r="AD6" s="2"/>
      <c r="AG6" s="2" t="s">
        <v>55</v>
      </c>
      <c r="AH6" s="23">
        <v>3</v>
      </c>
      <c r="AP6" s="2" t="s">
        <v>86</v>
      </c>
    </row>
    <row r="7" spans="6:44" x14ac:dyDescent="0.55000000000000004">
      <c r="H7" s="2" t="s">
        <v>85</v>
      </c>
      <c r="I7" s="23"/>
      <c r="K7" s="2" t="s">
        <v>85</v>
      </c>
      <c r="L7" s="4">
        <v>0</v>
      </c>
      <c r="N7" s="2" t="s">
        <v>53</v>
      </c>
      <c r="O7" s="23">
        <v>16</v>
      </c>
      <c r="Q7" s="2" t="s">
        <v>53</v>
      </c>
      <c r="R7" s="4">
        <v>0.4</v>
      </c>
      <c r="T7" s="2" t="s">
        <v>42</v>
      </c>
      <c r="U7" s="23">
        <v>4</v>
      </c>
      <c r="W7" s="2" t="s">
        <v>32</v>
      </c>
      <c r="X7" s="23">
        <v>10</v>
      </c>
      <c r="AD7" s="2"/>
      <c r="AG7" s="2" t="s">
        <v>34</v>
      </c>
      <c r="AH7" s="23">
        <v>4</v>
      </c>
      <c r="AI7" s="5"/>
    </row>
    <row r="8" spans="6:44" x14ac:dyDescent="0.55000000000000004">
      <c r="H8" s="2" t="s">
        <v>86</v>
      </c>
      <c r="I8" s="23">
        <v>40</v>
      </c>
      <c r="K8" s="2" t="s">
        <v>86</v>
      </c>
      <c r="L8" s="4">
        <v>1</v>
      </c>
      <c r="N8" s="2" t="s">
        <v>48</v>
      </c>
      <c r="O8" s="23">
        <v>2</v>
      </c>
      <c r="P8">
        <f>GETPIVOTDATA("استجابة العميل",$N$3,"حالة الطلب","تم التسليم")</f>
        <v>16</v>
      </c>
      <c r="Q8" s="2" t="s">
        <v>48</v>
      </c>
      <c r="R8" s="4">
        <v>0.05</v>
      </c>
      <c r="S8" s="4">
        <f>GETPIVOTDATA("استجابة العميل",$Q$3,"حالة الطلب","تم التسليم")</f>
        <v>0.4</v>
      </c>
      <c r="T8" s="2" t="s">
        <v>28</v>
      </c>
      <c r="U8" s="23">
        <v>7</v>
      </c>
      <c r="W8" s="2" t="s">
        <v>85</v>
      </c>
      <c r="X8" s="23"/>
      <c r="AD8" s="2"/>
      <c r="AG8" s="2" t="s">
        <v>24</v>
      </c>
      <c r="AH8" s="23">
        <v>24</v>
      </c>
      <c r="AI8" s="5"/>
    </row>
    <row r="9" spans="6:44" x14ac:dyDescent="0.55000000000000004">
      <c r="N9" s="2" t="s">
        <v>30</v>
      </c>
      <c r="O9" s="23">
        <v>4</v>
      </c>
      <c r="Q9" s="2" t="s">
        <v>30</v>
      </c>
      <c r="R9" s="4">
        <v>0.1</v>
      </c>
      <c r="T9" s="2" t="s">
        <v>21</v>
      </c>
      <c r="U9" s="23">
        <v>6</v>
      </c>
      <c r="W9" s="2" t="s">
        <v>86</v>
      </c>
      <c r="X9" s="23">
        <v>40</v>
      </c>
      <c r="AD9" s="2"/>
      <c r="AG9" s="2" t="s">
        <v>85</v>
      </c>
      <c r="AH9" s="23"/>
      <c r="AI9" s="5"/>
    </row>
    <row r="10" spans="6:44" x14ac:dyDescent="0.55000000000000004">
      <c r="N10" s="2" t="s">
        <v>50</v>
      </c>
      <c r="O10" s="23">
        <v>3</v>
      </c>
      <c r="Q10" s="2" t="s">
        <v>50</v>
      </c>
      <c r="R10" s="4">
        <v>7.4999999999999997E-2</v>
      </c>
      <c r="T10" s="2" t="s">
        <v>20</v>
      </c>
      <c r="U10" s="23">
        <v>3</v>
      </c>
      <c r="AG10" s="2" t="s">
        <v>86</v>
      </c>
      <c r="AH10" s="23">
        <v>40</v>
      </c>
    </row>
    <row r="11" spans="6:44" x14ac:dyDescent="0.55000000000000004">
      <c r="N11" s="2" t="s">
        <v>35</v>
      </c>
      <c r="O11" s="23">
        <v>11</v>
      </c>
      <c r="Q11" s="2" t="s">
        <v>35</v>
      </c>
      <c r="R11" s="4">
        <v>0.27500000000000002</v>
      </c>
      <c r="T11" s="2" t="s">
        <v>85</v>
      </c>
      <c r="U11" s="23"/>
    </row>
    <row r="12" spans="6:44" x14ac:dyDescent="0.55000000000000004">
      <c r="N12" s="2" t="s">
        <v>85</v>
      </c>
      <c r="O12" s="23"/>
      <c r="Q12" s="2" t="s">
        <v>85</v>
      </c>
      <c r="R12" s="4">
        <v>0</v>
      </c>
      <c r="T12" s="2" t="s">
        <v>86</v>
      </c>
      <c r="U12" s="23">
        <v>40</v>
      </c>
    </row>
    <row r="13" spans="6:44" x14ac:dyDescent="0.55000000000000004">
      <c r="N13" s="2" t="s">
        <v>86</v>
      </c>
      <c r="O13" s="23">
        <v>40</v>
      </c>
      <c r="Q13" s="2" t="s">
        <v>86</v>
      </c>
      <c r="R13" s="4">
        <v>1</v>
      </c>
    </row>
    <row r="14" spans="6:44" x14ac:dyDescent="0.55000000000000004">
      <c r="AD14" s="1" t="s">
        <v>93</v>
      </c>
      <c r="AN14" s="18" t="s">
        <v>104</v>
      </c>
      <c r="AO14" s="18" t="s">
        <v>105</v>
      </c>
      <c r="AP14" s="18" t="s">
        <v>18</v>
      </c>
    </row>
    <row r="15" spans="6:44" x14ac:dyDescent="0.55000000000000004">
      <c r="F15" t="s">
        <v>131</v>
      </c>
      <c r="AD15" s="2" t="s">
        <v>94</v>
      </c>
      <c r="AE15" s="4">
        <v>0.6</v>
      </c>
      <c r="AN15" s="19">
        <f>'data table'!AA1</f>
        <v>1000000</v>
      </c>
      <c r="AO15" s="20">
        <f>SUM(Table2[مبلغ التمويل])</f>
        <v>817400</v>
      </c>
      <c r="AP15" s="19">
        <f>AN15-AO15</f>
        <v>182600</v>
      </c>
      <c r="AR15" s="5">
        <f>AO15/AN15</f>
        <v>0.81740000000000002</v>
      </c>
    </row>
    <row r="16" spans="6:44" x14ac:dyDescent="0.55000000000000004">
      <c r="F16" s="23">
        <v>40</v>
      </c>
      <c r="G16">
        <f>GETPIVOTDATA("الاسم",$F$15)</f>
        <v>40</v>
      </c>
      <c r="AC16" s="6"/>
      <c r="AD16" s="2" t="s">
        <v>95</v>
      </c>
      <c r="AE16" s="4">
        <v>0.4</v>
      </c>
      <c r="AF16" s="4">
        <f>GETPIVOTDATA("Average of تم_التسليم.",$AD$14)</f>
        <v>0.4</v>
      </c>
    </row>
    <row r="17" spans="9:31" x14ac:dyDescent="0.55000000000000004">
      <c r="AD17" s="2" t="s">
        <v>96</v>
      </c>
      <c r="AE17" s="4">
        <v>1</v>
      </c>
    </row>
    <row r="18" spans="9:31" x14ac:dyDescent="0.55000000000000004">
      <c r="I18" t="s">
        <v>88</v>
      </c>
    </row>
    <row r="19" spans="9:31" x14ac:dyDescent="0.55000000000000004">
      <c r="I19" s="3">
        <v>6.5205439814814805E-3</v>
      </c>
      <c r="J19" s="3">
        <f>GETPIVOTDATA("مدة المكالمة",$I$18)</f>
        <v>6.5205439814814805E-3</v>
      </c>
      <c r="AC19" s="7"/>
    </row>
    <row r="22" spans="9:31" x14ac:dyDescent="0.55000000000000004">
      <c r="AB22" s="1" t="s">
        <v>84</v>
      </c>
      <c r="AC22" t="s">
        <v>90</v>
      </c>
      <c r="AD22" t="s">
        <v>97</v>
      </c>
    </row>
    <row r="23" spans="9:31" x14ac:dyDescent="0.55000000000000004">
      <c r="AB23" s="2" t="s">
        <v>107</v>
      </c>
      <c r="AC23" s="23">
        <v>1</v>
      </c>
      <c r="AD23" s="23">
        <v>1</v>
      </c>
    </row>
    <row r="24" spans="9:31" x14ac:dyDescent="0.55000000000000004">
      <c r="AB24" s="2" t="s">
        <v>108</v>
      </c>
      <c r="AC24" s="23">
        <v>4</v>
      </c>
      <c r="AD24" s="23">
        <v>2</v>
      </c>
    </row>
    <row r="25" spans="9:31" x14ac:dyDescent="0.55000000000000004">
      <c r="AB25" s="2" t="s">
        <v>109</v>
      </c>
      <c r="AC25" s="23">
        <v>2</v>
      </c>
      <c r="AD25" s="23">
        <v>1</v>
      </c>
    </row>
    <row r="26" spans="9:31" x14ac:dyDescent="0.55000000000000004">
      <c r="AB26" s="2" t="s">
        <v>110</v>
      </c>
      <c r="AC26" s="23">
        <v>4</v>
      </c>
      <c r="AD26" s="23">
        <v>4</v>
      </c>
    </row>
    <row r="27" spans="9:31" x14ac:dyDescent="0.55000000000000004">
      <c r="AB27" s="2" t="s">
        <v>111</v>
      </c>
      <c r="AC27" s="23">
        <v>2</v>
      </c>
      <c r="AD27" s="23">
        <v>0</v>
      </c>
    </row>
    <row r="28" spans="9:31" x14ac:dyDescent="0.55000000000000004">
      <c r="AB28" s="2" t="s">
        <v>112</v>
      </c>
      <c r="AC28" s="23">
        <v>1</v>
      </c>
      <c r="AD28" s="23">
        <v>0</v>
      </c>
    </row>
    <row r="29" spans="9:31" x14ac:dyDescent="0.55000000000000004">
      <c r="AB29" s="2" t="s">
        <v>113</v>
      </c>
      <c r="AC29" s="23">
        <v>1</v>
      </c>
      <c r="AD29" s="23">
        <v>1</v>
      </c>
    </row>
    <row r="30" spans="9:31" x14ac:dyDescent="0.55000000000000004">
      <c r="AB30" s="2" t="s">
        <v>114</v>
      </c>
      <c r="AC30" s="23">
        <v>2</v>
      </c>
      <c r="AD30" s="23">
        <v>1</v>
      </c>
    </row>
    <row r="31" spans="9:31" x14ac:dyDescent="0.55000000000000004">
      <c r="AB31" s="2" t="s">
        <v>115</v>
      </c>
      <c r="AC31" s="23">
        <v>1</v>
      </c>
      <c r="AD31" s="23">
        <v>0</v>
      </c>
    </row>
    <row r="32" spans="9:31" x14ac:dyDescent="0.55000000000000004">
      <c r="AB32" s="2" t="s">
        <v>116</v>
      </c>
      <c r="AC32" s="23">
        <v>3</v>
      </c>
      <c r="AD32" s="23">
        <v>3</v>
      </c>
    </row>
    <row r="33" spans="28:30" x14ac:dyDescent="0.55000000000000004">
      <c r="AB33" s="2" t="s">
        <v>117</v>
      </c>
      <c r="AC33" s="23">
        <v>1</v>
      </c>
      <c r="AD33" s="23">
        <v>0</v>
      </c>
    </row>
    <row r="34" spans="28:30" x14ac:dyDescent="0.55000000000000004">
      <c r="AB34" s="2" t="s">
        <v>118</v>
      </c>
      <c r="AC34" s="23">
        <v>1</v>
      </c>
      <c r="AD34" s="23">
        <v>1</v>
      </c>
    </row>
    <row r="35" spans="28:30" x14ac:dyDescent="0.55000000000000004">
      <c r="AB35" s="2" t="s">
        <v>119</v>
      </c>
      <c r="AC35" s="23">
        <v>1</v>
      </c>
      <c r="AD35" s="23">
        <v>0</v>
      </c>
    </row>
    <row r="36" spans="28:30" x14ac:dyDescent="0.55000000000000004">
      <c r="AB36" s="2" t="s">
        <v>120</v>
      </c>
      <c r="AC36" s="23">
        <v>4</v>
      </c>
      <c r="AD36" s="23">
        <v>3</v>
      </c>
    </row>
    <row r="37" spans="28:30" x14ac:dyDescent="0.55000000000000004">
      <c r="AB37" s="2" t="s">
        <v>121</v>
      </c>
      <c r="AC37" s="23">
        <v>2</v>
      </c>
      <c r="AD37" s="23">
        <v>1</v>
      </c>
    </row>
    <row r="38" spans="28:30" x14ac:dyDescent="0.55000000000000004">
      <c r="AB38" s="2" t="s">
        <v>122</v>
      </c>
      <c r="AC38" s="23">
        <v>1</v>
      </c>
      <c r="AD38" s="23">
        <v>0</v>
      </c>
    </row>
    <row r="39" spans="28:30" x14ac:dyDescent="0.55000000000000004">
      <c r="AB39" s="2" t="s">
        <v>123</v>
      </c>
      <c r="AC39" s="23">
        <v>1</v>
      </c>
      <c r="AD39" s="23">
        <v>1</v>
      </c>
    </row>
    <row r="40" spans="28:30" x14ac:dyDescent="0.55000000000000004">
      <c r="AB40" s="2" t="s">
        <v>124</v>
      </c>
      <c r="AC40" s="23">
        <v>1</v>
      </c>
      <c r="AD40" s="23">
        <v>1</v>
      </c>
    </row>
    <row r="41" spans="28:30" x14ac:dyDescent="0.55000000000000004">
      <c r="AB41" s="2" t="s">
        <v>125</v>
      </c>
      <c r="AC41" s="23">
        <v>1</v>
      </c>
      <c r="AD41" s="23">
        <v>1</v>
      </c>
    </row>
    <row r="42" spans="28:30" x14ac:dyDescent="0.55000000000000004">
      <c r="AB42" s="2" t="s">
        <v>126</v>
      </c>
      <c r="AC42" s="23">
        <v>1</v>
      </c>
      <c r="AD42" s="23">
        <v>1</v>
      </c>
    </row>
    <row r="43" spans="28:30" x14ac:dyDescent="0.55000000000000004">
      <c r="AB43" s="2" t="s">
        <v>127</v>
      </c>
      <c r="AC43" s="23">
        <v>1</v>
      </c>
      <c r="AD43" s="23">
        <v>1</v>
      </c>
    </row>
    <row r="44" spans="28:30" x14ac:dyDescent="0.55000000000000004">
      <c r="AB44" s="2" t="s">
        <v>128</v>
      </c>
      <c r="AC44" s="23">
        <v>1</v>
      </c>
      <c r="AD44" s="23">
        <v>1</v>
      </c>
    </row>
    <row r="45" spans="28:30" x14ac:dyDescent="0.55000000000000004">
      <c r="AB45" s="2" t="s">
        <v>129</v>
      </c>
      <c r="AC45" s="23">
        <v>1</v>
      </c>
      <c r="AD45" s="23">
        <v>1</v>
      </c>
    </row>
    <row r="46" spans="28:30" x14ac:dyDescent="0.55000000000000004">
      <c r="AB46" s="2" t="s">
        <v>130</v>
      </c>
      <c r="AC46" s="23">
        <v>1</v>
      </c>
      <c r="AD46" s="23">
        <v>0</v>
      </c>
    </row>
    <row r="47" spans="28:30" x14ac:dyDescent="0.55000000000000004">
      <c r="AB47" s="2" t="s">
        <v>133</v>
      </c>
      <c r="AC47" s="23">
        <v>1</v>
      </c>
      <c r="AD47" s="23">
        <v>1</v>
      </c>
    </row>
    <row r="48" spans="28:30" x14ac:dyDescent="0.55000000000000004">
      <c r="AB48" s="2" t="s">
        <v>103</v>
      </c>
      <c r="AC48" s="23"/>
      <c r="AD48" s="23"/>
    </row>
    <row r="49" spans="28:30" x14ac:dyDescent="0.55000000000000004">
      <c r="AB49" s="2" t="s">
        <v>86</v>
      </c>
      <c r="AC49" s="23">
        <v>40</v>
      </c>
      <c r="AD49" s="23">
        <v>26</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37DB-5248-41C2-B86B-2D39C6EE9908}">
  <dimension ref="A2:B5"/>
  <sheetViews>
    <sheetView rightToLeft="1" workbookViewId="0">
      <selection activeCell="F20" sqref="F20"/>
    </sheetView>
  </sheetViews>
  <sheetFormatPr defaultRowHeight="14.4" x14ac:dyDescent="0.55000000000000004"/>
  <cols>
    <col min="1" max="1" width="22.9453125" bestFit="1" customWidth="1"/>
    <col min="2" max="3" width="15.3125" bestFit="1" customWidth="1"/>
    <col min="4" max="4" width="12.578125" bestFit="1" customWidth="1"/>
    <col min="5" max="5" width="22.9453125" bestFit="1" customWidth="1"/>
    <col min="6" max="6" width="12.578125" bestFit="1" customWidth="1"/>
    <col min="7" max="7" width="22.9453125" bestFit="1" customWidth="1"/>
    <col min="8" max="8" width="12.578125" bestFit="1" customWidth="1"/>
    <col min="9" max="9" width="22.9453125" bestFit="1" customWidth="1"/>
    <col min="10" max="10" width="17.20703125" bestFit="1" customWidth="1"/>
    <col min="11" max="11" width="27.5234375" bestFit="1" customWidth="1"/>
  </cols>
  <sheetData>
    <row r="2" spans="1:2" x14ac:dyDescent="0.55000000000000004">
      <c r="A2" s="1" t="s">
        <v>101</v>
      </c>
      <c r="B2" s="2" t="s" vm="1">
        <v>106</v>
      </c>
    </row>
    <row r="4" spans="1:2" x14ac:dyDescent="0.55000000000000004">
      <c r="A4" t="s">
        <v>100</v>
      </c>
      <c r="B4" t="s">
        <v>102</v>
      </c>
    </row>
    <row r="5" spans="1:2" x14ac:dyDescent="0.55000000000000004">
      <c r="A5" s="23">
        <v>1611</v>
      </c>
      <c r="B5" s="23">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F7466-8BCD-4DC1-B03B-14177929C19C}">
  <dimension ref="A1:AA41"/>
  <sheetViews>
    <sheetView rightToLeft="1" topLeftCell="D1" zoomScale="70" zoomScaleNormal="70" workbookViewId="0">
      <selection activeCell="U12" sqref="U12"/>
    </sheetView>
  </sheetViews>
  <sheetFormatPr defaultRowHeight="14.4" x14ac:dyDescent="0.55000000000000004"/>
  <cols>
    <col min="1" max="1" width="17.83984375" customWidth="1"/>
    <col min="2" max="2" width="20.47265625" customWidth="1"/>
    <col min="3" max="3" width="20.20703125" customWidth="1"/>
    <col min="4" max="4" width="13.1015625" customWidth="1"/>
    <col min="5" max="5" width="12.89453125" customWidth="1"/>
    <col min="6" max="6" width="15" customWidth="1"/>
    <col min="7" max="7" width="16.47265625" customWidth="1"/>
    <col min="8" max="8" width="16.89453125" customWidth="1"/>
    <col min="9" max="9" width="16.734375" customWidth="1"/>
    <col min="10" max="10" width="13.62890625" customWidth="1"/>
    <col min="11" max="11" width="15.1015625" bestFit="1" customWidth="1"/>
    <col min="12" max="12" width="14.1015625" customWidth="1"/>
    <col min="13" max="13" width="14.26171875" customWidth="1"/>
    <col min="14" max="14" width="11.47265625" bestFit="1" customWidth="1"/>
    <col min="15" max="15" width="11.3671875" bestFit="1" customWidth="1"/>
    <col min="16" max="16" width="14.1015625" customWidth="1"/>
    <col min="17" max="17" width="11.47265625" customWidth="1"/>
    <col min="18" max="18" width="12.62890625" hidden="1" customWidth="1"/>
    <col min="19" max="19" width="8.83984375" hidden="1" customWidth="1"/>
    <col min="20" max="20" width="14.62890625" customWidth="1"/>
    <col min="22" max="22" width="10.15625" bestFit="1" customWidth="1"/>
    <col min="23" max="23" width="23.7890625" customWidth="1"/>
    <col min="25" max="25" width="10.5234375" bestFit="1" customWidth="1"/>
    <col min="26" max="26" width="5.9453125" customWidth="1"/>
    <col min="27" max="27" width="19.7890625" customWidth="1"/>
  </cols>
  <sheetData>
    <row r="1" spans="1:27" ht="20.399999999999999" x14ac:dyDescent="0.75">
      <c r="A1" s="11"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92</v>
      </c>
      <c r="V1" s="17" t="s">
        <v>98</v>
      </c>
      <c r="W1" s="17" t="s">
        <v>99</v>
      </c>
      <c r="AA1" s="21">
        <v>1000000</v>
      </c>
    </row>
    <row r="2" spans="1:27" x14ac:dyDescent="0.55000000000000004">
      <c r="A2" s="16">
        <v>1</v>
      </c>
      <c r="B2" t="s">
        <v>19</v>
      </c>
      <c r="C2" s="12">
        <v>1094739476</v>
      </c>
      <c r="D2" s="12">
        <v>1234</v>
      </c>
      <c r="E2" s="22">
        <v>523698741</v>
      </c>
      <c r="F2" s="12" t="s">
        <v>20</v>
      </c>
      <c r="G2" s="12" t="s">
        <v>21</v>
      </c>
      <c r="H2" s="12" t="s">
        <v>22</v>
      </c>
      <c r="I2" s="12" t="s">
        <v>23</v>
      </c>
      <c r="J2" s="12" t="s">
        <v>24</v>
      </c>
      <c r="K2" s="12" t="s">
        <v>53</v>
      </c>
      <c r="L2" s="13">
        <v>12000</v>
      </c>
      <c r="M2" s="14">
        <v>1.5393518518518499E-3</v>
      </c>
      <c r="N2" s="15">
        <v>45901</v>
      </c>
      <c r="O2" s="12" t="str">
        <f>IF(N2="","",TEXT(N2,"dddd"))</f>
        <v>الإثنين</v>
      </c>
      <c r="P2" s="12"/>
      <c r="Q2" s="12"/>
      <c r="R2" s="12">
        <f>IF('data table'!$K2="تم التسليم",1,IF('data table'!$K2="", "",0))</f>
        <v>1</v>
      </c>
      <c r="S2" s="12">
        <f t="shared" ref="S2:S40" si="0">IF(ISBLANK(R2),1,1-R2)</f>
        <v>0</v>
      </c>
      <c r="T2" s="12">
        <f>IF(Table2[[#This Row],[استجابة العميل]]="","",IF(Table2[[#This Row],[استجابة العميل]]="استجاب",1,0))</f>
        <v>1</v>
      </c>
      <c r="V2" s="15">
        <v>45901</v>
      </c>
      <c r="W2" s="12">
        <v>50</v>
      </c>
    </row>
    <row r="3" spans="1:27" x14ac:dyDescent="0.55000000000000004">
      <c r="A3" s="16">
        <v>2</v>
      </c>
      <c r="B3" t="s">
        <v>26</v>
      </c>
      <c r="C3" s="12">
        <v>1094739476</v>
      </c>
      <c r="D3" s="12">
        <v>5678</v>
      </c>
      <c r="E3" s="22">
        <v>537826758</v>
      </c>
      <c r="F3" s="12" t="s">
        <v>27</v>
      </c>
      <c r="G3" s="12" t="s">
        <v>28</v>
      </c>
      <c r="H3" s="12" t="s">
        <v>29</v>
      </c>
      <c r="I3" s="12" t="s">
        <v>23</v>
      </c>
      <c r="J3" s="12" t="s">
        <v>24</v>
      </c>
      <c r="K3" s="12" t="s">
        <v>53</v>
      </c>
      <c r="L3" s="13"/>
      <c r="M3" s="14">
        <v>3.5879629629629599E-3</v>
      </c>
      <c r="N3" s="15">
        <v>45902</v>
      </c>
      <c r="O3" s="12" t="str">
        <f t="shared" ref="O3:O40" si="1">IF(N3="","",TEXT(N3,"dddd"))</f>
        <v>الثلاثاء</v>
      </c>
      <c r="P3" s="12"/>
      <c r="Q3" s="12"/>
      <c r="R3" s="12">
        <f>IF('data table'!$K3="تم التسليم",1,IF('data table'!$K3="", "",0))</f>
        <v>1</v>
      </c>
      <c r="S3" s="12">
        <f t="shared" si="0"/>
        <v>0</v>
      </c>
      <c r="T3" s="12">
        <f>IF(Table2[[#This Row],[استجابة العميل]]="","",IF(Table2[[#This Row],[استجابة العميل]]="استجاب",1,0))</f>
        <v>1</v>
      </c>
      <c r="V3" s="15">
        <v>45902</v>
      </c>
      <c r="W3" s="12">
        <v>60</v>
      </c>
    </row>
    <row r="4" spans="1:27" x14ac:dyDescent="0.55000000000000004">
      <c r="A4" s="16">
        <v>3</v>
      </c>
      <c r="B4" t="s">
        <v>31</v>
      </c>
      <c r="C4" s="12">
        <v>1094739476</v>
      </c>
      <c r="D4" s="12">
        <v>6844</v>
      </c>
      <c r="E4" s="22">
        <v>567827667</v>
      </c>
      <c r="F4" s="12" t="s">
        <v>21</v>
      </c>
      <c r="G4" s="12" t="s">
        <v>21</v>
      </c>
      <c r="H4" s="12" t="s">
        <v>32</v>
      </c>
      <c r="I4" s="12" t="s">
        <v>33</v>
      </c>
      <c r="J4" s="12" t="s">
        <v>34</v>
      </c>
      <c r="K4" s="12" t="s">
        <v>35</v>
      </c>
      <c r="L4" s="13"/>
      <c r="M4" s="14">
        <v>7.1296296296296299E-3</v>
      </c>
      <c r="N4" s="15">
        <v>45902</v>
      </c>
      <c r="O4" s="12" t="str">
        <f>IF(N4="","",TEXT(N4,"dddd"))</f>
        <v>الثلاثاء</v>
      </c>
      <c r="P4" s="12"/>
      <c r="Q4" s="12"/>
      <c r="R4" s="12">
        <f>IF('data table'!$K4="تم التسليم",1,IF('data table'!$K4="", "",0))</f>
        <v>0</v>
      </c>
      <c r="S4" s="12">
        <f t="shared" si="0"/>
        <v>1</v>
      </c>
      <c r="T4" s="12">
        <f>IF(Table2[[#This Row],[استجابة العميل]]="","",IF(Table2[[#This Row],[استجابة العميل]]="استجاب",1,0))</f>
        <v>0</v>
      </c>
      <c r="V4" s="15">
        <v>45903</v>
      </c>
      <c r="W4" s="12">
        <v>70</v>
      </c>
    </row>
    <row r="5" spans="1:27" x14ac:dyDescent="0.55000000000000004">
      <c r="A5" s="16">
        <v>4</v>
      </c>
      <c r="B5" t="s">
        <v>36</v>
      </c>
      <c r="C5" s="12">
        <v>1094739476</v>
      </c>
      <c r="D5" s="12">
        <v>5464</v>
      </c>
      <c r="E5" s="22">
        <v>918273645</v>
      </c>
      <c r="F5" s="12" t="s">
        <v>28</v>
      </c>
      <c r="G5" s="12" t="s">
        <v>21</v>
      </c>
      <c r="H5" s="12" t="s">
        <v>37</v>
      </c>
      <c r="I5" s="12" t="s">
        <v>38</v>
      </c>
      <c r="J5" s="12" t="s">
        <v>34</v>
      </c>
      <c r="K5" s="12" t="s">
        <v>35</v>
      </c>
      <c r="L5" s="13"/>
      <c r="M5" s="14">
        <v>4.31712962962963E-3</v>
      </c>
      <c r="N5" s="15">
        <v>45902</v>
      </c>
      <c r="O5" s="12" t="str">
        <f t="shared" si="1"/>
        <v>الثلاثاء</v>
      </c>
      <c r="P5" s="12"/>
      <c r="Q5" s="12"/>
      <c r="R5" s="12">
        <f>IF('data table'!$K5="تم التسليم",1,IF('data table'!$K5="", "",0))</f>
        <v>0</v>
      </c>
      <c r="S5" s="12">
        <f t="shared" si="0"/>
        <v>1</v>
      </c>
      <c r="T5" s="12">
        <f>IF(Table2[[#This Row],[استجابة العميل]]="","",IF(Table2[[#This Row],[استجابة العميل]]="استجاب",1,0))</f>
        <v>0</v>
      </c>
      <c r="V5" s="15">
        <v>45904</v>
      </c>
      <c r="W5" s="12">
        <v>80</v>
      </c>
    </row>
    <row r="6" spans="1:27" x14ac:dyDescent="0.55000000000000004">
      <c r="A6" s="16">
        <v>5</v>
      </c>
      <c r="B6" t="s">
        <v>39</v>
      </c>
      <c r="C6" s="12">
        <v>1094739476</v>
      </c>
      <c r="D6" s="12">
        <v>8441</v>
      </c>
      <c r="E6" s="22">
        <v>203948576</v>
      </c>
      <c r="F6" s="12" t="s">
        <v>40</v>
      </c>
      <c r="G6" s="12" t="s">
        <v>27</v>
      </c>
      <c r="H6" s="12" t="s">
        <v>29</v>
      </c>
      <c r="I6" s="12" t="s">
        <v>23</v>
      </c>
      <c r="J6" s="12" t="s">
        <v>24</v>
      </c>
      <c r="K6" s="12" t="s">
        <v>53</v>
      </c>
      <c r="L6" s="13">
        <v>85000</v>
      </c>
      <c r="M6" s="14">
        <v>5.7638888888888896E-3</v>
      </c>
      <c r="N6" s="15">
        <v>45902</v>
      </c>
      <c r="O6" s="12" t="str">
        <f t="shared" si="1"/>
        <v>الثلاثاء</v>
      </c>
      <c r="P6" s="12"/>
      <c r="Q6" s="12"/>
      <c r="R6" s="12">
        <f>IF('data table'!$K6="تم التسليم",1,IF('data table'!$K6="", "",0))</f>
        <v>1</v>
      </c>
      <c r="S6" s="12">
        <f t="shared" si="0"/>
        <v>0</v>
      </c>
      <c r="T6" s="12">
        <f>IF(Table2[[#This Row],[استجابة العميل]]="","",IF(Table2[[#This Row],[استجابة العميل]]="استجاب",1,0))</f>
        <v>1</v>
      </c>
      <c r="V6" s="15">
        <v>45905</v>
      </c>
      <c r="W6" s="12">
        <v>15</v>
      </c>
    </row>
    <row r="7" spans="1:27" x14ac:dyDescent="0.55000000000000004">
      <c r="A7" s="16">
        <v>6</v>
      </c>
      <c r="B7" t="s">
        <v>41</v>
      </c>
      <c r="C7" s="12">
        <v>1094739476</v>
      </c>
      <c r="D7" s="12">
        <v>8411</v>
      </c>
      <c r="E7" s="22">
        <v>657382910</v>
      </c>
      <c r="F7" s="12" t="s">
        <v>42</v>
      </c>
      <c r="G7" s="12" t="s">
        <v>40</v>
      </c>
      <c r="H7" s="12" t="s">
        <v>32</v>
      </c>
      <c r="I7" s="12" t="s">
        <v>23</v>
      </c>
      <c r="J7" s="12" t="s">
        <v>24</v>
      </c>
      <c r="K7" s="12" t="s">
        <v>43</v>
      </c>
      <c r="L7" s="13"/>
      <c r="M7" s="14">
        <v>6.4004629629629602E-3</v>
      </c>
      <c r="N7" s="15">
        <v>45903</v>
      </c>
      <c r="O7" s="12" t="str">
        <f t="shared" si="1"/>
        <v>الأربعاء</v>
      </c>
      <c r="P7" s="12"/>
      <c r="Q7" s="12"/>
      <c r="R7" s="12">
        <f>IF('data table'!$K7="تم التسليم",1,IF('data table'!$K7="", "",0))</f>
        <v>0</v>
      </c>
      <c r="S7" s="12">
        <f t="shared" si="0"/>
        <v>1</v>
      </c>
      <c r="T7" s="12">
        <f>IF(Table2[[#This Row],[استجابة العميل]]="","",IF(Table2[[#This Row],[استجابة العميل]]="استجاب",1,0))</f>
        <v>1</v>
      </c>
      <c r="V7" s="15">
        <v>45906</v>
      </c>
      <c r="W7" s="12">
        <v>20</v>
      </c>
    </row>
    <row r="8" spans="1:27" x14ac:dyDescent="0.55000000000000004">
      <c r="A8" s="16">
        <v>7</v>
      </c>
      <c r="B8" t="s">
        <v>44</v>
      </c>
      <c r="C8" s="12">
        <v>1094739476</v>
      </c>
      <c r="D8" s="12">
        <v>5741</v>
      </c>
      <c r="E8" s="22">
        <v>481920374</v>
      </c>
      <c r="F8" s="12" t="s">
        <v>45</v>
      </c>
      <c r="G8" s="12" t="s">
        <v>42</v>
      </c>
      <c r="H8" s="12" t="s">
        <v>37</v>
      </c>
      <c r="I8" s="12" t="s">
        <v>38</v>
      </c>
      <c r="J8" s="12" t="s">
        <v>46</v>
      </c>
      <c r="K8" s="12" t="s">
        <v>30</v>
      </c>
      <c r="L8" s="13"/>
      <c r="M8" s="14">
        <v>1.25810185185185E-2</v>
      </c>
      <c r="N8" s="15">
        <v>45903</v>
      </c>
      <c r="O8" s="12" t="str">
        <f t="shared" si="1"/>
        <v>الأربعاء</v>
      </c>
      <c r="P8" s="12"/>
      <c r="Q8" s="12"/>
      <c r="R8" s="12">
        <f>IF('data table'!$K8="تم التسليم",1,IF('data table'!$K8="", "",0))</f>
        <v>0</v>
      </c>
      <c r="S8" s="12">
        <f t="shared" si="0"/>
        <v>1</v>
      </c>
      <c r="T8" s="12">
        <f>IF(Table2[[#This Row],[استجابة العميل]]="","",IF(Table2[[#This Row],[استجابة العميل]]="استجاب",1,0))</f>
        <v>0</v>
      </c>
      <c r="V8" s="15">
        <v>45907</v>
      </c>
      <c r="W8" s="12">
        <v>30</v>
      </c>
    </row>
    <row r="9" spans="1:27" x14ac:dyDescent="0.55000000000000004">
      <c r="A9" s="16">
        <v>8</v>
      </c>
      <c r="B9" t="s">
        <v>47</v>
      </c>
      <c r="C9" s="12">
        <v>1094739476</v>
      </c>
      <c r="D9" s="12">
        <v>1221</v>
      </c>
      <c r="E9" s="22">
        <v>739105826</v>
      </c>
      <c r="F9" s="12" t="s">
        <v>42</v>
      </c>
      <c r="G9" s="12" t="s">
        <v>21</v>
      </c>
      <c r="H9" s="12" t="s">
        <v>29</v>
      </c>
      <c r="I9" s="12" t="s">
        <v>23</v>
      </c>
      <c r="J9" s="12" t="s">
        <v>24</v>
      </c>
      <c r="K9" s="12" t="s">
        <v>53</v>
      </c>
      <c r="L9" s="13">
        <v>15000</v>
      </c>
      <c r="M9" s="14">
        <v>2.5694444444444402E-3</v>
      </c>
      <c r="N9" s="15">
        <v>45904</v>
      </c>
      <c r="O9" s="12" t="str">
        <f t="shared" si="1"/>
        <v>الخميس</v>
      </c>
      <c r="P9" s="12"/>
      <c r="Q9" s="12"/>
      <c r="R9" s="12">
        <f>IF('data table'!$K9="تم التسليم",1,IF('data table'!$K9="", "",0))</f>
        <v>1</v>
      </c>
      <c r="S9" s="12">
        <f t="shared" si="0"/>
        <v>0</v>
      </c>
      <c r="T9" s="12">
        <f>IF(Table2[[#This Row],[استجابة العميل]]="","",IF(Table2[[#This Row],[استجابة العميل]]="استجاب",1,0))</f>
        <v>1</v>
      </c>
      <c r="V9" s="15">
        <v>45908</v>
      </c>
      <c r="W9" s="12">
        <v>90</v>
      </c>
    </row>
    <row r="10" spans="1:27" x14ac:dyDescent="0.55000000000000004">
      <c r="A10" s="16">
        <v>9</v>
      </c>
      <c r="B10" t="s">
        <v>49</v>
      </c>
      <c r="C10" s="12">
        <v>1094739476</v>
      </c>
      <c r="D10" s="12">
        <v>2211</v>
      </c>
      <c r="E10" s="22">
        <v>120938475</v>
      </c>
      <c r="F10" s="12" t="s">
        <v>40</v>
      </c>
      <c r="G10" s="12" t="s">
        <v>40</v>
      </c>
      <c r="H10" s="12" t="s">
        <v>37</v>
      </c>
      <c r="I10" s="12" t="s">
        <v>23</v>
      </c>
      <c r="J10" s="12" t="s">
        <v>24</v>
      </c>
      <c r="K10" s="12" t="s">
        <v>50</v>
      </c>
      <c r="L10" s="13"/>
      <c r="M10" s="14">
        <v>8.9699074074074108E-3</v>
      </c>
      <c r="N10" s="15">
        <v>45904</v>
      </c>
      <c r="O10" s="12" t="str">
        <f t="shared" si="1"/>
        <v>الخميس</v>
      </c>
      <c r="P10" s="12"/>
      <c r="Q10" s="12"/>
      <c r="R10" s="12">
        <f>IF('data table'!$K10="تم التسليم",1,IF('data table'!$K10="", "",0))</f>
        <v>0</v>
      </c>
      <c r="S10" s="12">
        <f t="shared" si="0"/>
        <v>1</v>
      </c>
      <c r="T10" s="12">
        <f>IF(Table2[[#This Row],[استجابة العميل]]="","",IF(Table2[[#This Row],[استجابة العميل]]="استجاب",1,0))</f>
        <v>1</v>
      </c>
      <c r="V10" s="15">
        <v>45909</v>
      </c>
      <c r="W10" s="12">
        <v>100</v>
      </c>
    </row>
    <row r="11" spans="1:27" x14ac:dyDescent="0.55000000000000004">
      <c r="A11" s="16">
        <v>10</v>
      </c>
      <c r="B11" t="s">
        <v>51</v>
      </c>
      <c r="C11" s="12">
        <v>1094739476</v>
      </c>
      <c r="D11" s="12">
        <v>8442</v>
      </c>
      <c r="E11" s="22">
        <v>564738291</v>
      </c>
      <c r="F11" s="12" t="s">
        <v>28</v>
      </c>
      <c r="G11" s="12" t="s">
        <v>27</v>
      </c>
      <c r="H11" s="12" t="s">
        <v>32</v>
      </c>
      <c r="I11" s="12" t="s">
        <v>23</v>
      </c>
      <c r="J11" s="12" t="s">
        <v>24</v>
      </c>
      <c r="K11" s="12" t="s">
        <v>53</v>
      </c>
      <c r="L11" s="13">
        <v>52100</v>
      </c>
      <c r="M11" s="14">
        <v>4.1666666666666702E-4</v>
      </c>
      <c r="N11" s="15">
        <v>45904</v>
      </c>
      <c r="O11" s="12" t="str">
        <f t="shared" si="1"/>
        <v>الخميس</v>
      </c>
      <c r="P11" s="12"/>
      <c r="Q11" s="12"/>
      <c r="R11" s="12">
        <f>IF('data table'!$K11="تم التسليم",1,IF('data table'!$K11="", "",0))</f>
        <v>1</v>
      </c>
      <c r="S11" s="12">
        <f t="shared" si="0"/>
        <v>0</v>
      </c>
      <c r="T11" s="12">
        <f>IF(Table2[[#This Row],[استجابة العميل]]="","",IF(Table2[[#This Row],[استجابة العميل]]="استجاب",1,0))</f>
        <v>1</v>
      </c>
      <c r="V11" s="15">
        <v>45910</v>
      </c>
      <c r="W11" s="12">
        <v>60</v>
      </c>
    </row>
    <row r="12" spans="1:27" x14ac:dyDescent="0.55000000000000004">
      <c r="A12" s="16">
        <v>11</v>
      </c>
      <c r="B12" t="s">
        <v>52</v>
      </c>
      <c r="C12" s="12">
        <v>1094739476</v>
      </c>
      <c r="D12" s="12">
        <v>9845</v>
      </c>
      <c r="E12" s="22">
        <v>849102736</v>
      </c>
      <c r="F12" s="12" t="s">
        <v>27</v>
      </c>
      <c r="G12" s="12" t="s">
        <v>40</v>
      </c>
      <c r="H12" s="12" t="s">
        <v>37</v>
      </c>
      <c r="I12" s="12" t="s">
        <v>23</v>
      </c>
      <c r="J12" s="12" t="s">
        <v>24</v>
      </c>
      <c r="K12" s="12" t="s">
        <v>53</v>
      </c>
      <c r="L12" s="13">
        <v>49000</v>
      </c>
      <c r="M12" s="14">
        <v>1.39236111111111E-2</v>
      </c>
      <c r="N12" s="15">
        <v>45904</v>
      </c>
      <c r="O12" s="12" t="str">
        <f t="shared" si="1"/>
        <v>الخميس</v>
      </c>
      <c r="P12" s="12"/>
      <c r="Q12" s="12"/>
      <c r="R12" s="12">
        <f>IF('data table'!$K12="تم التسليم",1,IF('data table'!$K12="", "",0))</f>
        <v>1</v>
      </c>
      <c r="S12" s="12">
        <f t="shared" si="0"/>
        <v>0</v>
      </c>
      <c r="T12" s="12">
        <f>IF(Table2[[#This Row],[استجابة العميل]]="","",IF(Table2[[#This Row],[استجابة العميل]]="استجاب",1,0))</f>
        <v>1</v>
      </c>
      <c r="V12" s="15">
        <v>45911</v>
      </c>
      <c r="W12" s="12">
        <v>22</v>
      </c>
    </row>
    <row r="13" spans="1:27" x14ac:dyDescent="0.55000000000000004">
      <c r="A13" s="16">
        <v>12</v>
      </c>
      <c r="B13" t="s">
        <v>54</v>
      </c>
      <c r="C13" s="12">
        <v>1094739476</v>
      </c>
      <c r="D13" s="12">
        <v>1568</v>
      </c>
      <c r="E13" s="22">
        <v>374829105</v>
      </c>
      <c r="F13" s="12" t="s">
        <v>21</v>
      </c>
      <c r="G13" s="12" t="s">
        <v>21</v>
      </c>
      <c r="H13" s="12" t="s">
        <v>37</v>
      </c>
      <c r="I13" s="12" t="s">
        <v>38</v>
      </c>
      <c r="J13" s="12" t="s">
        <v>46</v>
      </c>
      <c r="K13" s="12" t="s">
        <v>30</v>
      </c>
      <c r="L13" s="13"/>
      <c r="M13" s="14">
        <v>5.0810185185185203E-3</v>
      </c>
      <c r="N13" s="15">
        <v>45905</v>
      </c>
      <c r="O13" s="12" t="str">
        <f t="shared" si="1"/>
        <v>الجمعة</v>
      </c>
      <c r="P13" s="12"/>
      <c r="Q13" s="12"/>
      <c r="R13" s="12">
        <f>IF('data table'!$K13="تم التسليم",1,IF('data table'!$K13="", "",0))</f>
        <v>0</v>
      </c>
      <c r="S13" s="12">
        <f t="shared" si="0"/>
        <v>1</v>
      </c>
      <c r="T13" s="12">
        <f>IF(Table2[[#This Row],[استجابة العميل]]="","",IF(Table2[[#This Row],[استجابة العميل]]="استجاب",1,0))</f>
        <v>0</v>
      </c>
      <c r="V13" s="15">
        <v>45912</v>
      </c>
      <c r="W13" s="12">
        <v>89</v>
      </c>
    </row>
    <row r="14" spans="1:27" x14ac:dyDescent="0.55000000000000004">
      <c r="A14" s="16">
        <v>13</v>
      </c>
      <c r="B14" t="s">
        <v>44</v>
      </c>
      <c r="C14" s="12">
        <v>1094739476</v>
      </c>
      <c r="D14" s="12">
        <v>3695</v>
      </c>
      <c r="E14" s="22">
        <v>910283746</v>
      </c>
      <c r="F14" s="12" t="s">
        <v>20</v>
      </c>
      <c r="G14" s="12" t="s">
        <v>42</v>
      </c>
      <c r="H14" s="12" t="s">
        <v>29</v>
      </c>
      <c r="I14" s="12" t="s">
        <v>38</v>
      </c>
      <c r="J14" s="12" t="s">
        <v>55</v>
      </c>
      <c r="K14" s="12" t="s">
        <v>35</v>
      </c>
      <c r="L14" s="13"/>
      <c r="M14" s="14">
        <v>1.0972222222222199E-2</v>
      </c>
      <c r="N14" s="15">
        <v>45905</v>
      </c>
      <c r="O14" s="12" t="str">
        <f t="shared" si="1"/>
        <v>الجمعة</v>
      </c>
      <c r="P14" s="12"/>
      <c r="Q14" s="12"/>
      <c r="R14" s="12">
        <f>IF('data table'!$K14="تم التسليم",1,IF('data table'!$K14="", "",0))</f>
        <v>0</v>
      </c>
      <c r="S14" s="12">
        <f t="shared" si="0"/>
        <v>1</v>
      </c>
      <c r="T14" s="12">
        <f>IF(Table2[[#This Row],[استجابة العميل]]="","",IF(Table2[[#This Row],[استجابة العميل]]="استجاب",1,0))</f>
        <v>0</v>
      </c>
      <c r="V14" s="15">
        <v>45913</v>
      </c>
      <c r="W14" s="12">
        <v>70</v>
      </c>
    </row>
    <row r="15" spans="1:27" x14ac:dyDescent="0.55000000000000004">
      <c r="A15" s="16">
        <v>14</v>
      </c>
      <c r="B15" t="s">
        <v>56</v>
      </c>
      <c r="C15" s="12">
        <v>1094739476</v>
      </c>
      <c r="D15" s="12">
        <v>3652</v>
      </c>
      <c r="E15" s="22">
        <v>657483920</v>
      </c>
      <c r="F15" s="12" t="s">
        <v>45</v>
      </c>
      <c r="G15" s="12" t="s">
        <v>27</v>
      </c>
      <c r="H15" s="12" t="s">
        <v>29</v>
      </c>
      <c r="I15" s="12" t="s">
        <v>33</v>
      </c>
      <c r="J15" s="12" t="s">
        <v>57</v>
      </c>
      <c r="K15" s="12" t="s">
        <v>35</v>
      </c>
      <c r="L15" s="13"/>
      <c r="M15" s="14">
        <v>6.2962962962962998E-3</v>
      </c>
      <c r="N15" s="15">
        <v>45906</v>
      </c>
      <c r="O15" s="12" t="str">
        <f t="shared" si="1"/>
        <v>السبت</v>
      </c>
      <c r="P15" s="12"/>
      <c r="Q15" s="12"/>
      <c r="R15" s="12">
        <f>IF('data table'!$K15="تم التسليم",1,IF('data table'!$K15="", "",0))</f>
        <v>0</v>
      </c>
      <c r="S15" s="12">
        <f t="shared" si="0"/>
        <v>1</v>
      </c>
      <c r="T15" s="12">
        <f>IF(Table2[[#This Row],[استجابة العميل]]="","",IF(Table2[[#This Row],[استجابة العميل]]="استجاب",1,0))</f>
        <v>0</v>
      </c>
      <c r="V15" s="15">
        <v>45914</v>
      </c>
      <c r="W15" s="12">
        <v>40</v>
      </c>
    </row>
    <row r="16" spans="1:27" x14ac:dyDescent="0.55000000000000004">
      <c r="A16" s="16">
        <v>15</v>
      </c>
      <c r="B16" t="s">
        <v>58</v>
      </c>
      <c r="C16" s="12">
        <v>1094739476</v>
      </c>
      <c r="D16" s="12">
        <v>8461</v>
      </c>
      <c r="E16" s="22">
        <v>382910475</v>
      </c>
      <c r="F16" s="12" t="s">
        <v>21</v>
      </c>
      <c r="G16" s="12" t="s">
        <v>21</v>
      </c>
      <c r="H16" s="12" t="s">
        <v>29</v>
      </c>
      <c r="I16" s="12" t="s">
        <v>23</v>
      </c>
      <c r="J16" s="12" t="s">
        <v>24</v>
      </c>
      <c r="K16" s="12" t="s">
        <v>53</v>
      </c>
      <c r="L16" s="13">
        <v>87000</v>
      </c>
      <c r="M16" s="14">
        <v>1.74768518518519E-3</v>
      </c>
      <c r="N16" s="15">
        <v>45907</v>
      </c>
      <c r="O16" s="12" t="str">
        <f t="shared" si="1"/>
        <v>الأحد</v>
      </c>
      <c r="P16" s="12"/>
      <c r="Q16" s="12"/>
      <c r="R16" s="12">
        <f>IF('data table'!$K16="تم التسليم",1,IF('data table'!$K16="", "",0))</f>
        <v>1</v>
      </c>
      <c r="S16" s="12">
        <f t="shared" si="0"/>
        <v>0</v>
      </c>
      <c r="T16" s="12">
        <f>IF(Table2[[#This Row],[استجابة العميل]]="","",IF(Table2[[#This Row],[استجابة العميل]]="استجاب",1,0))</f>
        <v>1</v>
      </c>
      <c r="V16" s="15">
        <v>45915</v>
      </c>
      <c r="W16" s="12">
        <v>30</v>
      </c>
    </row>
    <row r="17" spans="1:23" x14ac:dyDescent="0.55000000000000004">
      <c r="A17" s="16">
        <v>16</v>
      </c>
      <c r="B17" t="s">
        <v>59</v>
      </c>
      <c r="C17" s="12">
        <v>1094739476</v>
      </c>
      <c r="D17" s="12">
        <v>5678</v>
      </c>
      <c r="E17" s="22">
        <v>746291038</v>
      </c>
      <c r="F17" s="12" t="s">
        <v>21</v>
      </c>
      <c r="G17" s="12" t="s">
        <v>28</v>
      </c>
      <c r="H17" s="12" t="s">
        <v>37</v>
      </c>
      <c r="I17" s="12" t="s">
        <v>23</v>
      </c>
      <c r="J17" s="12" t="s">
        <v>24</v>
      </c>
      <c r="K17" s="12" t="s">
        <v>30</v>
      </c>
      <c r="L17" s="13"/>
      <c r="M17" s="14">
        <v>1.00347222222222E-2</v>
      </c>
      <c r="N17" s="15">
        <v>45908</v>
      </c>
      <c r="O17" s="12" t="str">
        <f t="shared" si="1"/>
        <v>الإثنين</v>
      </c>
      <c r="P17" s="12"/>
      <c r="Q17" s="12"/>
      <c r="R17" s="12">
        <f>IF('data table'!$K17="تم التسليم",1,IF('data table'!$K17="", "",0))</f>
        <v>0</v>
      </c>
      <c r="S17" s="12">
        <f t="shared" si="0"/>
        <v>1</v>
      </c>
      <c r="T17" s="12">
        <f>IF(Table2[[#This Row],[استجابة العميل]]="","",IF(Table2[[#This Row],[استجابة العميل]]="استجاب",1,0))</f>
        <v>1</v>
      </c>
      <c r="V17" s="15">
        <v>45916</v>
      </c>
      <c r="W17" s="12">
        <v>26</v>
      </c>
    </row>
    <row r="18" spans="1:23" x14ac:dyDescent="0.55000000000000004">
      <c r="A18" s="16">
        <v>17</v>
      </c>
      <c r="B18" t="s">
        <v>60</v>
      </c>
      <c r="C18" s="12">
        <v>1094739476</v>
      </c>
      <c r="D18" s="12">
        <v>8563</v>
      </c>
      <c r="E18" s="22">
        <v>192837465</v>
      </c>
      <c r="F18" s="12" t="s">
        <v>40</v>
      </c>
      <c r="G18" s="12" t="s">
        <v>21</v>
      </c>
      <c r="H18" s="12" t="s">
        <v>32</v>
      </c>
      <c r="I18" s="12" t="s">
        <v>38</v>
      </c>
      <c r="J18" s="12" t="s">
        <v>55</v>
      </c>
      <c r="K18" s="12" t="s">
        <v>35</v>
      </c>
      <c r="L18" s="13"/>
      <c r="M18" s="14">
        <v>1.3865740740740699E-2</v>
      </c>
      <c r="N18" s="15">
        <v>45908</v>
      </c>
      <c r="O18" s="12" t="str">
        <f t="shared" si="1"/>
        <v>الإثنين</v>
      </c>
      <c r="P18" s="12"/>
      <c r="Q18" s="12"/>
      <c r="R18" s="12">
        <f>IF('data table'!$K18="تم التسليم",1,IF('data table'!$K18="", "",0))</f>
        <v>0</v>
      </c>
      <c r="S18" s="12">
        <f t="shared" si="0"/>
        <v>1</v>
      </c>
      <c r="T18" s="12">
        <f>IF(Table2[[#This Row],[استجابة العميل]]="","",IF(Table2[[#This Row],[استجابة العميل]]="استجاب",1,0))</f>
        <v>0</v>
      </c>
      <c r="V18" s="15">
        <v>45917</v>
      </c>
      <c r="W18" s="12">
        <v>33</v>
      </c>
    </row>
    <row r="19" spans="1:23" x14ac:dyDescent="0.55000000000000004">
      <c r="A19" s="16">
        <v>18</v>
      </c>
      <c r="B19" t="s">
        <v>61</v>
      </c>
      <c r="C19" s="12">
        <v>1094739476</v>
      </c>
      <c r="D19" s="12">
        <v>5460</v>
      </c>
      <c r="E19" s="22">
        <v>839201746</v>
      </c>
      <c r="F19" s="12" t="s">
        <v>45</v>
      </c>
      <c r="G19" s="12" t="s">
        <v>27</v>
      </c>
      <c r="H19" s="12" t="s">
        <v>29</v>
      </c>
      <c r="I19" s="12" t="s">
        <v>33</v>
      </c>
      <c r="J19" s="12" t="s">
        <v>57</v>
      </c>
      <c r="K19" s="12" t="s">
        <v>35</v>
      </c>
      <c r="L19" s="13"/>
      <c r="M19" s="14">
        <v>3.54166666666667E-3</v>
      </c>
      <c r="N19" s="15">
        <v>45909</v>
      </c>
      <c r="O19" s="12" t="str">
        <f t="shared" si="1"/>
        <v>الثلاثاء</v>
      </c>
      <c r="P19" s="12"/>
      <c r="Q19" s="12"/>
      <c r="R19" s="12">
        <f>IF('data table'!$K19="تم التسليم",1,IF('data table'!$K19="", "",0))</f>
        <v>0</v>
      </c>
      <c r="S19" s="12">
        <f t="shared" si="0"/>
        <v>1</v>
      </c>
      <c r="T19" s="12">
        <f>IF(Table2[[#This Row],[استجابة العميل]]="","",IF(Table2[[#This Row],[استجابة العميل]]="استجاب",1,0))</f>
        <v>0</v>
      </c>
      <c r="V19" s="15">
        <v>45918</v>
      </c>
      <c r="W19" s="12">
        <v>54</v>
      </c>
    </row>
    <row r="20" spans="1:23" x14ac:dyDescent="0.55000000000000004">
      <c r="A20" s="16">
        <v>19</v>
      </c>
      <c r="B20" t="s">
        <v>62</v>
      </c>
      <c r="C20" s="12">
        <v>1094739476</v>
      </c>
      <c r="D20" s="12">
        <v>1568</v>
      </c>
      <c r="E20" s="22">
        <v>475829103</v>
      </c>
      <c r="F20" s="12" t="s">
        <v>28</v>
      </c>
      <c r="G20" s="12" t="s">
        <v>27</v>
      </c>
      <c r="H20" s="12" t="s">
        <v>37</v>
      </c>
      <c r="I20" s="12" t="s">
        <v>23</v>
      </c>
      <c r="J20" s="12" t="s">
        <v>24</v>
      </c>
      <c r="K20" s="12" t="s">
        <v>53</v>
      </c>
      <c r="L20" s="13">
        <v>52100</v>
      </c>
      <c r="M20" s="14">
        <v>8.0902777777777796E-3</v>
      </c>
      <c r="N20" s="15">
        <v>45910</v>
      </c>
      <c r="O20" s="12" t="str">
        <f t="shared" si="1"/>
        <v>الأربعاء</v>
      </c>
      <c r="P20" s="12"/>
      <c r="Q20" s="12"/>
      <c r="R20" s="12">
        <f>IF('data table'!$K20="تم التسليم",1,IF('data table'!$K20="", "",0))</f>
        <v>1</v>
      </c>
      <c r="S20" s="12">
        <f t="shared" si="0"/>
        <v>0</v>
      </c>
      <c r="T20" s="12">
        <f>IF(Table2[[#This Row],[استجابة العميل]]="","",IF(Table2[[#This Row],[استجابة العميل]]="استجاب",1,0))</f>
        <v>1</v>
      </c>
      <c r="V20" s="15">
        <v>45919</v>
      </c>
      <c r="W20" s="12">
        <v>95</v>
      </c>
    </row>
    <row r="21" spans="1:23" x14ac:dyDescent="0.55000000000000004">
      <c r="A21" s="16">
        <v>20</v>
      </c>
      <c r="B21" t="s">
        <v>63</v>
      </c>
      <c r="C21" s="12">
        <v>1094739476</v>
      </c>
      <c r="D21" s="12">
        <v>5658</v>
      </c>
      <c r="E21" s="22">
        <v>102938475</v>
      </c>
      <c r="F21" s="12" t="s">
        <v>40</v>
      </c>
      <c r="G21" s="12" t="s">
        <v>40</v>
      </c>
      <c r="H21" s="12" t="s">
        <v>32</v>
      </c>
      <c r="I21" s="12" t="s">
        <v>23</v>
      </c>
      <c r="J21" s="12" t="s">
        <v>24</v>
      </c>
      <c r="K21" s="12" t="s">
        <v>64</v>
      </c>
      <c r="L21" s="13"/>
      <c r="M21" s="14">
        <v>5.8101851851851899E-3</v>
      </c>
      <c r="N21" s="15">
        <v>45910</v>
      </c>
      <c r="O21" s="12" t="str">
        <f t="shared" si="1"/>
        <v>الأربعاء</v>
      </c>
      <c r="P21" s="12"/>
      <c r="Q21" s="12"/>
      <c r="R21" s="12">
        <f>IF('data table'!$K21="تم التسليم",1,IF('data table'!$K21="", "",0))</f>
        <v>0</v>
      </c>
      <c r="S21" s="12">
        <f t="shared" si="0"/>
        <v>1</v>
      </c>
      <c r="T21" s="12">
        <f>IF(Table2[[#This Row],[استجابة العميل]]="","",IF(Table2[[#This Row],[استجابة العميل]]="استجاب",1,0))</f>
        <v>1</v>
      </c>
      <c r="V21" s="15">
        <v>45920</v>
      </c>
      <c r="W21" s="12">
        <v>23</v>
      </c>
    </row>
    <row r="22" spans="1:23" x14ac:dyDescent="0.55000000000000004">
      <c r="A22" s="16">
        <v>21</v>
      </c>
      <c r="B22" t="s">
        <v>65</v>
      </c>
      <c r="C22" s="12">
        <v>1094739476</v>
      </c>
      <c r="D22" s="12">
        <v>8471</v>
      </c>
      <c r="E22" s="22">
        <v>564738920</v>
      </c>
      <c r="F22" s="12" t="s">
        <v>40</v>
      </c>
      <c r="G22" s="12" t="s">
        <v>42</v>
      </c>
      <c r="H22" s="12" t="s">
        <v>22</v>
      </c>
      <c r="I22" s="12" t="s">
        <v>23</v>
      </c>
      <c r="J22" s="12" t="s">
        <v>24</v>
      </c>
      <c r="K22" s="12" t="s">
        <v>53</v>
      </c>
      <c r="L22" s="13">
        <v>52000</v>
      </c>
      <c r="M22" s="14">
        <v>3.4375E-3</v>
      </c>
      <c r="N22" s="15">
        <v>45910</v>
      </c>
      <c r="O22" s="12" t="str">
        <f t="shared" si="1"/>
        <v>الأربعاء</v>
      </c>
      <c r="P22" s="12"/>
      <c r="Q22" s="12"/>
      <c r="R22" s="12">
        <f>IF('data table'!$K22="تم التسليم",1,IF('data table'!$K22="", "",0))</f>
        <v>1</v>
      </c>
      <c r="S22" s="12">
        <f t="shared" si="0"/>
        <v>0</v>
      </c>
      <c r="T22" s="12">
        <f>IF(Table2[[#This Row],[استجابة العميل]]="","",IF(Table2[[#This Row],[استجابة العميل]]="استجاب",1,0))</f>
        <v>1</v>
      </c>
      <c r="V22" s="15">
        <v>45921</v>
      </c>
      <c r="W22" s="12">
        <v>20</v>
      </c>
    </row>
    <row r="23" spans="1:23" x14ac:dyDescent="0.55000000000000004">
      <c r="A23" s="16">
        <v>22</v>
      </c>
      <c r="B23" t="s">
        <v>66</v>
      </c>
      <c r="C23" s="12">
        <v>1094739476</v>
      </c>
      <c r="D23" s="12">
        <v>5638</v>
      </c>
      <c r="E23" s="22">
        <v>918374652</v>
      </c>
      <c r="F23" s="12" t="s">
        <v>21</v>
      </c>
      <c r="G23" s="12" t="s">
        <v>21</v>
      </c>
      <c r="H23" s="12" t="s">
        <v>37</v>
      </c>
      <c r="I23" s="12" t="s">
        <v>33</v>
      </c>
      <c r="J23" s="12" t="s">
        <v>57</v>
      </c>
      <c r="K23" s="12" t="s">
        <v>35</v>
      </c>
      <c r="L23" s="13"/>
      <c r="M23" s="14">
        <v>1.12384259259259E-2</v>
      </c>
      <c r="N23" s="15">
        <v>45911</v>
      </c>
      <c r="O23" s="12" t="str">
        <f t="shared" si="1"/>
        <v>الخميس</v>
      </c>
      <c r="P23" s="12"/>
      <c r="Q23" s="12"/>
      <c r="R23" s="12">
        <f>IF('data table'!$K23="تم التسليم",1,IF('data table'!$K23="", "",0))</f>
        <v>0</v>
      </c>
      <c r="S23" s="12">
        <f t="shared" si="0"/>
        <v>1</v>
      </c>
      <c r="T23" s="12">
        <f>IF(Table2[[#This Row],[استجابة العميل]]="","",IF(Table2[[#This Row],[استجابة العميل]]="استجاب",1,0))</f>
        <v>0</v>
      </c>
      <c r="V23" s="15">
        <v>45922</v>
      </c>
      <c r="W23" s="12">
        <v>80</v>
      </c>
    </row>
    <row r="24" spans="1:23" x14ac:dyDescent="0.55000000000000004">
      <c r="A24" s="16">
        <v>23</v>
      </c>
      <c r="B24" t="s">
        <v>67</v>
      </c>
      <c r="C24" s="12">
        <v>1094739476</v>
      </c>
      <c r="D24" s="12">
        <v>3682</v>
      </c>
      <c r="E24" s="22">
        <v>203948571</v>
      </c>
      <c r="F24" s="12" t="s">
        <v>40</v>
      </c>
      <c r="G24" s="12" t="s">
        <v>20</v>
      </c>
      <c r="H24" s="12" t="s">
        <v>32</v>
      </c>
      <c r="I24" s="12" t="s">
        <v>23</v>
      </c>
      <c r="J24" s="12" t="s">
        <v>46</v>
      </c>
      <c r="K24" s="12" t="s">
        <v>43</v>
      </c>
      <c r="L24" s="13"/>
      <c r="M24" s="14">
        <v>7.4652777777777799E-3</v>
      </c>
      <c r="N24" s="15">
        <v>45912</v>
      </c>
      <c r="O24" s="12" t="str">
        <f t="shared" si="1"/>
        <v>الجمعة</v>
      </c>
      <c r="P24" s="12"/>
      <c r="Q24" s="12"/>
      <c r="R24" s="12">
        <f>IF('data table'!$K24="تم التسليم",1,IF('data table'!$K24="", "",0))</f>
        <v>0</v>
      </c>
      <c r="S24" s="12">
        <f t="shared" si="0"/>
        <v>1</v>
      </c>
      <c r="T24" s="12">
        <f>IF(Table2[[#This Row],[استجابة العميل]]="","",IF(Table2[[#This Row],[استجابة العميل]]="استجاب",1,0))</f>
        <v>1</v>
      </c>
      <c r="V24" s="15">
        <v>45923</v>
      </c>
      <c r="W24" s="12">
        <v>10</v>
      </c>
    </row>
    <row r="25" spans="1:23" x14ac:dyDescent="0.55000000000000004">
      <c r="A25" s="16">
        <v>24</v>
      </c>
      <c r="B25" t="s">
        <v>68</v>
      </c>
      <c r="C25" s="12">
        <v>1094739476</v>
      </c>
      <c r="D25" s="12">
        <v>1251</v>
      </c>
      <c r="E25" s="22">
        <v>657382914</v>
      </c>
      <c r="F25" s="12" t="s">
        <v>45</v>
      </c>
      <c r="G25" s="12" t="s">
        <v>21</v>
      </c>
      <c r="H25" s="12" t="s">
        <v>37</v>
      </c>
      <c r="I25" s="12" t="s">
        <v>33</v>
      </c>
      <c r="J25" s="12" t="s">
        <v>34</v>
      </c>
      <c r="K25" s="12" t="s">
        <v>35</v>
      </c>
      <c r="L25" s="13"/>
      <c r="M25" s="14">
        <v>4.31712962962963E-3</v>
      </c>
      <c r="N25" s="15">
        <v>45913</v>
      </c>
      <c r="O25" s="12" t="str">
        <f t="shared" si="1"/>
        <v>السبت</v>
      </c>
      <c r="P25" s="12"/>
      <c r="Q25" s="12"/>
      <c r="R25" s="12">
        <f>IF('data table'!$K25="تم التسليم",1,IF('data table'!$K25="", "",0))</f>
        <v>0</v>
      </c>
      <c r="S25" s="12">
        <f t="shared" si="0"/>
        <v>1</v>
      </c>
      <c r="T25" s="12">
        <f>IF(Table2[[#This Row],[استجابة العميل]]="","",IF(Table2[[#This Row],[استجابة العميل]]="استجاب",1,0))</f>
        <v>0</v>
      </c>
      <c r="V25" s="15">
        <v>45924</v>
      </c>
      <c r="W25" s="12">
        <v>110</v>
      </c>
    </row>
    <row r="26" spans="1:23" x14ac:dyDescent="0.55000000000000004">
      <c r="A26" s="16">
        <v>25</v>
      </c>
      <c r="B26" t="s">
        <v>69</v>
      </c>
      <c r="C26" s="12">
        <v>1094739476</v>
      </c>
      <c r="D26" s="12">
        <v>5469</v>
      </c>
      <c r="E26" s="22">
        <v>481920379</v>
      </c>
      <c r="F26" s="12" t="s">
        <v>28</v>
      </c>
      <c r="G26" s="12" t="s">
        <v>40</v>
      </c>
      <c r="H26" s="12" t="s">
        <v>29</v>
      </c>
      <c r="I26" s="12" t="s">
        <v>23</v>
      </c>
      <c r="J26" s="12" t="s">
        <v>24</v>
      </c>
      <c r="K26" s="12" t="s">
        <v>53</v>
      </c>
      <c r="L26" s="13">
        <v>69000</v>
      </c>
      <c r="M26" s="14">
        <v>9.0509259259259293E-3</v>
      </c>
      <c r="N26" s="15">
        <v>45914</v>
      </c>
      <c r="O26" s="12" t="str">
        <f t="shared" si="1"/>
        <v>الأحد</v>
      </c>
      <c r="P26" s="12"/>
      <c r="Q26" s="12"/>
      <c r="R26" s="12">
        <f>IF('data table'!$K26="تم التسليم",1,IF('data table'!$K26="", "",0))</f>
        <v>1</v>
      </c>
      <c r="S26" s="12">
        <f t="shared" si="0"/>
        <v>0</v>
      </c>
      <c r="T26" s="12">
        <f>IF(Table2[[#This Row],[استجابة العميل]]="","",IF(Table2[[#This Row],[استجابة العميل]]="استجاب",1,0))</f>
        <v>1</v>
      </c>
      <c r="V26" s="15">
        <v>45925</v>
      </c>
      <c r="W26" s="12">
        <v>77</v>
      </c>
    </row>
    <row r="27" spans="1:23" x14ac:dyDescent="0.55000000000000004">
      <c r="A27" s="16">
        <v>26</v>
      </c>
      <c r="B27" t="s">
        <v>70</v>
      </c>
      <c r="C27" s="12">
        <v>1094739476</v>
      </c>
      <c r="D27" s="12">
        <v>1652</v>
      </c>
      <c r="E27" s="22">
        <v>739105824</v>
      </c>
      <c r="F27" s="12" t="s">
        <v>40</v>
      </c>
      <c r="G27" s="12" t="s">
        <v>27</v>
      </c>
      <c r="H27" s="12" t="s">
        <v>22</v>
      </c>
      <c r="I27" s="12" t="s">
        <v>23</v>
      </c>
      <c r="J27" s="12" t="s">
        <v>55</v>
      </c>
      <c r="K27" s="12" t="s">
        <v>50</v>
      </c>
      <c r="L27" s="13"/>
      <c r="M27" s="14">
        <v>1.37731481481481E-3</v>
      </c>
      <c r="N27" s="15">
        <v>45914</v>
      </c>
      <c r="O27" s="12" t="str">
        <f t="shared" si="1"/>
        <v>الأحد</v>
      </c>
      <c r="P27" s="12"/>
      <c r="Q27" s="12"/>
      <c r="R27" s="12">
        <f>IF('data table'!$K27="تم التسليم",1,IF('data table'!$K27="", "",0))</f>
        <v>0</v>
      </c>
      <c r="S27" s="12">
        <f t="shared" si="0"/>
        <v>1</v>
      </c>
      <c r="T27" s="12">
        <f>IF(Table2[[#This Row],[استجابة العميل]]="","",IF(Table2[[#This Row],[استجابة العميل]]="استجاب",1,0))</f>
        <v>1</v>
      </c>
      <c r="V27" s="15">
        <v>45926</v>
      </c>
      <c r="W27" s="12">
        <v>55</v>
      </c>
    </row>
    <row r="28" spans="1:23" x14ac:dyDescent="0.55000000000000004">
      <c r="A28" s="16">
        <v>27</v>
      </c>
      <c r="B28" t="s">
        <v>71</v>
      </c>
      <c r="C28" s="12">
        <v>1094739476</v>
      </c>
      <c r="D28" s="12">
        <v>5648</v>
      </c>
      <c r="E28" s="22">
        <v>120938479</v>
      </c>
      <c r="F28" s="12" t="s">
        <v>40</v>
      </c>
      <c r="G28" s="12" t="s">
        <v>42</v>
      </c>
      <c r="H28" s="12" t="s">
        <v>29</v>
      </c>
      <c r="I28" s="12" t="s">
        <v>38</v>
      </c>
      <c r="J28" s="12" t="s">
        <v>46</v>
      </c>
      <c r="K28" s="12" t="s">
        <v>35</v>
      </c>
      <c r="L28" s="13"/>
      <c r="M28" s="14">
        <v>1.21875E-2</v>
      </c>
      <c r="N28" s="15">
        <v>45914</v>
      </c>
      <c r="O28" s="12" t="str">
        <f t="shared" si="1"/>
        <v>الأحد</v>
      </c>
      <c r="P28" s="12"/>
      <c r="Q28" s="12"/>
      <c r="R28" s="12">
        <f>IF('data table'!$K28="تم التسليم",1,IF('data table'!$K28="", "",0))</f>
        <v>0</v>
      </c>
      <c r="S28" s="12">
        <f t="shared" si="0"/>
        <v>1</v>
      </c>
      <c r="T28" s="12">
        <f>IF(Table2[[#This Row],[استجابة العميل]]="","",IF(Table2[[#This Row],[استجابة العميل]]="استجاب",1,0))</f>
        <v>0</v>
      </c>
      <c r="V28" s="15">
        <v>45927</v>
      </c>
      <c r="W28" s="12">
        <v>36</v>
      </c>
    </row>
    <row r="29" spans="1:23" x14ac:dyDescent="0.55000000000000004">
      <c r="A29" s="16">
        <v>28</v>
      </c>
      <c r="B29" t="s">
        <v>72</v>
      </c>
      <c r="C29" s="12">
        <v>1094739476</v>
      </c>
      <c r="D29" s="12">
        <v>8481</v>
      </c>
      <c r="E29" s="22">
        <v>564738295</v>
      </c>
      <c r="F29" s="12" t="s">
        <v>20</v>
      </c>
      <c r="G29" s="12" t="s">
        <v>42</v>
      </c>
      <c r="H29" s="12" t="s">
        <v>37</v>
      </c>
      <c r="I29" s="12" t="s">
        <v>23</v>
      </c>
      <c r="J29" s="12" t="s">
        <v>24</v>
      </c>
      <c r="K29" s="12" t="s">
        <v>53</v>
      </c>
      <c r="L29" s="13">
        <v>44800</v>
      </c>
      <c r="M29" s="14">
        <v>1.38888888888889E-4</v>
      </c>
      <c r="N29" s="15">
        <v>45914</v>
      </c>
      <c r="O29" s="12" t="str">
        <f t="shared" si="1"/>
        <v>الأحد</v>
      </c>
      <c r="P29" s="12"/>
      <c r="Q29" s="12"/>
      <c r="R29" s="12">
        <f>IF('data table'!$K29="تم التسليم",1,IF('data table'!$K29="", "",0))</f>
        <v>1</v>
      </c>
      <c r="S29" s="12">
        <f t="shared" si="0"/>
        <v>0</v>
      </c>
      <c r="T29" s="12">
        <f>IF(Table2[[#This Row],[استجابة العميل]]="","",IF(Table2[[#This Row],[استجابة العميل]]="استجاب",1,0))</f>
        <v>1</v>
      </c>
      <c r="V29" s="15">
        <v>45928</v>
      </c>
      <c r="W29" s="12">
        <v>68</v>
      </c>
    </row>
    <row r="30" spans="1:23" x14ac:dyDescent="0.55000000000000004">
      <c r="A30" s="16">
        <v>29</v>
      </c>
      <c r="B30" t="s">
        <v>73</v>
      </c>
      <c r="C30" s="12">
        <v>1094739476</v>
      </c>
      <c r="D30" s="12">
        <v>1234</v>
      </c>
      <c r="E30" s="22">
        <v>849102739</v>
      </c>
      <c r="F30" s="12" t="s">
        <v>27</v>
      </c>
      <c r="G30" s="12" t="s">
        <v>27</v>
      </c>
      <c r="H30" s="12" t="s">
        <v>32</v>
      </c>
      <c r="I30" s="12" t="s">
        <v>33</v>
      </c>
      <c r="J30" s="12" t="s">
        <v>57</v>
      </c>
      <c r="K30" s="12" t="s">
        <v>35</v>
      </c>
      <c r="L30" s="13"/>
      <c r="M30" s="14">
        <v>5.4513888888888902E-3</v>
      </c>
      <c r="N30" s="15">
        <v>45915</v>
      </c>
      <c r="O30" s="12" t="str">
        <f t="shared" si="1"/>
        <v>الإثنين</v>
      </c>
      <c r="P30" s="12"/>
      <c r="Q30" s="12"/>
      <c r="R30" s="12">
        <f>IF('data table'!$K30="تم التسليم",1,IF('data table'!$K30="", "",0))</f>
        <v>0</v>
      </c>
      <c r="S30" s="12">
        <f t="shared" si="0"/>
        <v>1</v>
      </c>
      <c r="T30" s="12">
        <f>IF(Table2[[#This Row],[استجابة العميل]]="","",IF(Table2[[#This Row],[استجابة العميل]]="استجاب",1,0))</f>
        <v>0</v>
      </c>
      <c r="V30" s="15">
        <v>45929</v>
      </c>
      <c r="W30" s="12">
        <v>78</v>
      </c>
    </row>
    <row r="31" spans="1:23" x14ac:dyDescent="0.55000000000000004">
      <c r="A31" s="16">
        <v>30</v>
      </c>
      <c r="B31" t="s">
        <v>74</v>
      </c>
      <c r="C31" s="12">
        <v>1094739476</v>
      </c>
      <c r="D31" s="12">
        <v>8415</v>
      </c>
      <c r="E31" s="22">
        <v>374829109</v>
      </c>
      <c r="F31" s="12" t="s">
        <v>21</v>
      </c>
      <c r="G31" s="12" t="s">
        <v>40</v>
      </c>
      <c r="H31" s="12" t="s">
        <v>29</v>
      </c>
      <c r="I31" s="12" t="s">
        <v>23</v>
      </c>
      <c r="J31" s="12" t="s">
        <v>24</v>
      </c>
      <c r="K31" s="12" t="s">
        <v>48</v>
      </c>
      <c r="L31" s="13"/>
      <c r="M31" s="14">
        <v>3.9814814814814799E-3</v>
      </c>
      <c r="N31" s="15">
        <v>45915</v>
      </c>
      <c r="O31" s="12" t="str">
        <f t="shared" si="1"/>
        <v>الإثنين</v>
      </c>
      <c r="P31" s="12"/>
      <c r="Q31" s="12"/>
      <c r="R31" s="12">
        <f>IF('data table'!$K31="تم التسليم",1,IF('data table'!$K31="", "",0))</f>
        <v>0</v>
      </c>
      <c r="S31" s="12">
        <f t="shared" si="0"/>
        <v>1</v>
      </c>
      <c r="T31" s="12">
        <f>IF(Table2[[#This Row],[استجابة العميل]]="","",IF(Table2[[#This Row],[استجابة العميل]]="استجاب",1,0))</f>
        <v>1</v>
      </c>
      <c r="V31" s="15">
        <v>45930</v>
      </c>
      <c r="W31" s="12">
        <v>20</v>
      </c>
    </row>
    <row r="32" spans="1:23" x14ac:dyDescent="0.55000000000000004">
      <c r="A32" s="16">
        <v>31</v>
      </c>
      <c r="B32" t="s">
        <v>75</v>
      </c>
      <c r="C32" s="12">
        <v>1094739476</v>
      </c>
      <c r="D32" s="12">
        <v>3697</v>
      </c>
      <c r="E32" s="22">
        <v>910283749</v>
      </c>
      <c r="F32" s="12" t="s">
        <v>28</v>
      </c>
      <c r="G32" s="12" t="s">
        <v>21</v>
      </c>
      <c r="H32" s="12" t="s">
        <v>29</v>
      </c>
      <c r="I32" s="12" t="s">
        <v>38</v>
      </c>
      <c r="J32" s="12" t="s">
        <v>46</v>
      </c>
      <c r="K32" s="12" t="s">
        <v>53</v>
      </c>
      <c r="L32" s="13">
        <v>52100</v>
      </c>
      <c r="M32" s="14">
        <v>1.4814814814814801E-3</v>
      </c>
      <c r="N32" s="15">
        <v>45916</v>
      </c>
      <c r="O32" s="12" t="str">
        <f t="shared" si="1"/>
        <v>الثلاثاء</v>
      </c>
      <c r="P32" s="12"/>
      <c r="Q32" s="12"/>
      <c r="R32" s="12">
        <f>IF('data table'!$K32="تم التسليم",1,IF('data table'!$K32="", "",0))</f>
        <v>1</v>
      </c>
      <c r="S32" s="12">
        <f t="shared" si="0"/>
        <v>0</v>
      </c>
      <c r="T32" s="12">
        <f>IF(Table2[[#This Row],[استجابة العميل]]="","",IF(Table2[[#This Row],[استجابة العميل]]="استجاب",1,0))</f>
        <v>0</v>
      </c>
      <c r="V32" s="15"/>
      <c r="W32" s="12"/>
    </row>
    <row r="33" spans="1:23" x14ac:dyDescent="0.55000000000000004">
      <c r="A33" s="16">
        <v>32</v>
      </c>
      <c r="B33" t="s">
        <v>76</v>
      </c>
      <c r="C33" s="12">
        <v>1094739476</v>
      </c>
      <c r="D33" s="12">
        <v>8421</v>
      </c>
      <c r="E33" s="22">
        <v>657483924</v>
      </c>
      <c r="F33" s="12" t="s">
        <v>40</v>
      </c>
      <c r="G33" s="12" t="s">
        <v>42</v>
      </c>
      <c r="H33" s="12" t="s">
        <v>22</v>
      </c>
      <c r="I33" s="12" t="s">
        <v>23</v>
      </c>
      <c r="J33" s="12" t="s">
        <v>24</v>
      </c>
      <c r="K33" s="12" t="s">
        <v>30</v>
      </c>
      <c r="L33" s="13"/>
      <c r="M33" s="14">
        <v>1.28356481481481E-2</v>
      </c>
      <c r="N33" s="15">
        <v>45917</v>
      </c>
      <c r="O33" s="12" t="str">
        <f t="shared" si="1"/>
        <v>الأربعاء</v>
      </c>
      <c r="P33" s="12"/>
      <c r="Q33" s="12"/>
      <c r="R33" s="12">
        <f>IF('data table'!$K33="تم التسليم",1,IF('data table'!$K33="", "",0))</f>
        <v>0</v>
      </c>
      <c r="S33" s="12">
        <f t="shared" si="0"/>
        <v>1</v>
      </c>
      <c r="T33" s="12">
        <f>IF(Table2[[#This Row],[استجابة العميل]]="","",IF(Table2[[#This Row],[استجابة العميل]]="استجاب",1,0))</f>
        <v>1</v>
      </c>
      <c r="V33" s="15"/>
      <c r="W33" s="12"/>
    </row>
    <row r="34" spans="1:23" x14ac:dyDescent="0.55000000000000004">
      <c r="A34" s="16">
        <v>33</v>
      </c>
      <c r="B34" t="s">
        <v>77</v>
      </c>
      <c r="C34" s="12">
        <v>1094739476</v>
      </c>
      <c r="D34" s="12">
        <v>1568</v>
      </c>
      <c r="E34" s="22">
        <v>382910479</v>
      </c>
      <c r="F34" s="12" t="s">
        <v>28</v>
      </c>
      <c r="G34" s="12" t="s">
        <v>27</v>
      </c>
      <c r="H34" s="12" t="s">
        <v>37</v>
      </c>
      <c r="I34" s="12" t="s">
        <v>23</v>
      </c>
      <c r="J34" s="12" t="s">
        <v>24</v>
      </c>
      <c r="K34" s="12" t="s">
        <v>50</v>
      </c>
      <c r="L34" s="13"/>
      <c r="M34" s="14">
        <v>8.4143518518518499E-3</v>
      </c>
      <c r="N34" s="15">
        <v>45918</v>
      </c>
      <c r="O34" s="12" t="str">
        <f t="shared" si="1"/>
        <v>الخميس</v>
      </c>
      <c r="P34" s="12"/>
      <c r="Q34" s="12"/>
      <c r="R34" s="12">
        <f>IF('data table'!$K34="تم التسليم",1,IF('data table'!$K34="", "",0))</f>
        <v>0</v>
      </c>
      <c r="S34" s="12">
        <f t="shared" si="0"/>
        <v>1</v>
      </c>
      <c r="T34" s="12">
        <f>IF(Table2[[#This Row],[استجابة العميل]]="","",IF(Table2[[#This Row],[استجابة العميل]]="استجاب",1,0))</f>
        <v>1</v>
      </c>
      <c r="V34" s="15"/>
      <c r="W34" s="12"/>
    </row>
    <row r="35" spans="1:23" x14ac:dyDescent="0.55000000000000004">
      <c r="A35" s="16">
        <v>34</v>
      </c>
      <c r="B35" t="s">
        <v>78</v>
      </c>
      <c r="C35" s="12">
        <v>1094739476</v>
      </c>
      <c r="D35" s="12">
        <v>6444</v>
      </c>
      <c r="E35" s="22">
        <v>746291032</v>
      </c>
      <c r="F35" s="12" t="s">
        <v>40</v>
      </c>
      <c r="G35" s="12" t="s">
        <v>21</v>
      </c>
      <c r="H35" s="12" t="s">
        <v>32</v>
      </c>
      <c r="I35" s="12" t="s">
        <v>23</v>
      </c>
      <c r="J35" s="12" t="s">
        <v>24</v>
      </c>
      <c r="K35" s="12" t="s">
        <v>53</v>
      </c>
      <c r="L35" s="13">
        <v>49000</v>
      </c>
      <c r="M35" s="14">
        <v>2.2569444444444399E-3</v>
      </c>
      <c r="N35" s="15">
        <v>45919</v>
      </c>
      <c r="O35" s="12" t="str">
        <f t="shared" si="1"/>
        <v>الجمعة</v>
      </c>
      <c r="P35" s="12"/>
      <c r="Q35" s="12"/>
      <c r="R35" s="12">
        <f>IF('data table'!$K35="تم التسليم",1,IF('data table'!$K35="", "",0))</f>
        <v>1</v>
      </c>
      <c r="S35" s="12">
        <f t="shared" si="0"/>
        <v>0</v>
      </c>
      <c r="T35" s="12">
        <f>IF(Table2[[#This Row],[استجابة العميل]]="","",IF(Table2[[#This Row],[استجابة العميل]]="استجاب",1,0))</f>
        <v>1</v>
      </c>
      <c r="V35" s="15"/>
      <c r="W35" s="12"/>
    </row>
    <row r="36" spans="1:23" x14ac:dyDescent="0.55000000000000004">
      <c r="A36" s="16">
        <v>35</v>
      </c>
      <c r="B36" t="s">
        <v>79</v>
      </c>
      <c r="C36" s="12">
        <v>1094739476</v>
      </c>
      <c r="D36" s="12">
        <v>4589</v>
      </c>
      <c r="E36" s="22">
        <v>192837469</v>
      </c>
      <c r="F36" s="12" t="s">
        <v>42</v>
      </c>
      <c r="G36" s="12" t="s">
        <v>20</v>
      </c>
      <c r="H36" s="12" t="s">
        <v>22</v>
      </c>
      <c r="I36" s="12" t="s">
        <v>23</v>
      </c>
      <c r="J36" s="12" t="s">
        <v>24</v>
      </c>
      <c r="K36" s="12" t="s">
        <v>53</v>
      </c>
      <c r="L36" s="13">
        <v>65000</v>
      </c>
      <c r="M36" s="14">
        <v>6.6782407407407398E-3</v>
      </c>
      <c r="N36" s="15">
        <v>45920</v>
      </c>
      <c r="O36" s="12" t="str">
        <f t="shared" si="1"/>
        <v>السبت</v>
      </c>
      <c r="P36" s="12"/>
      <c r="Q36" s="12"/>
      <c r="R36" s="12">
        <f>IF('data table'!$K36="تم التسليم",1,IF('data table'!$K36="", "",0))</f>
        <v>1</v>
      </c>
      <c r="S36" s="12">
        <f t="shared" si="0"/>
        <v>0</v>
      </c>
      <c r="T36" s="12">
        <f>IF(Table2[[#This Row],[استجابة العميل]]="","",IF(Table2[[#This Row],[استجابة العميل]]="استجاب",1,0))</f>
        <v>1</v>
      </c>
      <c r="V36" s="15"/>
      <c r="W36" s="12"/>
    </row>
    <row r="37" spans="1:23" x14ac:dyDescent="0.55000000000000004">
      <c r="A37" s="16">
        <v>36</v>
      </c>
      <c r="B37" t="s">
        <v>80</v>
      </c>
      <c r="C37" s="12">
        <v>1094739476</v>
      </c>
      <c r="D37" s="12">
        <v>6251</v>
      </c>
      <c r="E37" s="22">
        <v>839201742</v>
      </c>
      <c r="F37" s="12" t="s">
        <v>45</v>
      </c>
      <c r="G37" s="12" t="s">
        <v>42</v>
      </c>
      <c r="H37" s="12" t="s">
        <v>37</v>
      </c>
      <c r="I37" s="12" t="s">
        <v>23</v>
      </c>
      <c r="J37" s="12" t="s">
        <v>24</v>
      </c>
      <c r="K37" s="12" t="s">
        <v>53</v>
      </c>
      <c r="L37" s="13">
        <v>33300</v>
      </c>
      <c r="M37" s="14">
        <v>9.7569444444444396E-3</v>
      </c>
      <c r="N37" s="15">
        <v>45921</v>
      </c>
      <c r="O37" s="12" t="str">
        <f t="shared" si="1"/>
        <v>الأحد</v>
      </c>
      <c r="P37" s="12"/>
      <c r="Q37" s="12"/>
      <c r="R37" s="12">
        <f>IF('data table'!$K37="تم التسليم",1,IF('data table'!$K37="", "",0))</f>
        <v>1</v>
      </c>
      <c r="S37" s="12">
        <f t="shared" si="0"/>
        <v>0</v>
      </c>
      <c r="T37" s="12">
        <f>IF(Table2[[#This Row],[استجابة العميل]]="","",IF(Table2[[#This Row],[استجابة العميل]]="استجاب",1,0))</f>
        <v>1</v>
      </c>
      <c r="V37" s="15"/>
      <c r="W37" s="12"/>
    </row>
    <row r="38" spans="1:23" x14ac:dyDescent="0.55000000000000004">
      <c r="A38" s="16">
        <v>37</v>
      </c>
      <c r="B38" t="s">
        <v>81</v>
      </c>
      <c r="C38" s="12">
        <v>1094739476</v>
      </c>
      <c r="D38" s="12">
        <v>3842</v>
      </c>
      <c r="E38" s="22">
        <v>475829107</v>
      </c>
      <c r="F38" s="12" t="s">
        <v>42</v>
      </c>
      <c r="G38" s="12" t="s">
        <v>27</v>
      </c>
      <c r="H38" s="12" t="s">
        <v>29</v>
      </c>
      <c r="I38" s="12" t="s">
        <v>23</v>
      </c>
      <c r="J38" s="12" t="s">
        <v>24</v>
      </c>
      <c r="K38" s="12" t="s">
        <v>48</v>
      </c>
      <c r="L38" s="13"/>
      <c r="M38" s="14">
        <v>3.0208333333333298E-3</v>
      </c>
      <c r="N38" s="15">
        <v>45922</v>
      </c>
      <c r="O38" s="12" t="str">
        <f t="shared" si="1"/>
        <v>الإثنين</v>
      </c>
      <c r="P38" s="12"/>
      <c r="Q38" s="12"/>
      <c r="R38" s="12">
        <f>IF('data table'!$K38="تم التسليم",1,IF('data table'!$K38="", "",0))</f>
        <v>0</v>
      </c>
      <c r="S38" s="12">
        <f t="shared" si="0"/>
        <v>1</v>
      </c>
      <c r="T38" s="12">
        <f>IF(Table2[[#This Row],[استجابة العميل]]="","",IF(Table2[[#This Row],[استجابة العميل]]="استجاب",1,0))</f>
        <v>1</v>
      </c>
      <c r="V38" s="15"/>
      <c r="W38" s="12"/>
    </row>
    <row r="39" spans="1:23" x14ac:dyDescent="0.55000000000000004">
      <c r="A39" s="16">
        <v>38</v>
      </c>
      <c r="B39" t="s">
        <v>82</v>
      </c>
      <c r="C39" s="12">
        <v>1094739476</v>
      </c>
      <c r="D39" s="12">
        <v>9871</v>
      </c>
      <c r="E39" s="22">
        <v>102938479</v>
      </c>
      <c r="F39" s="12" t="s">
        <v>40</v>
      </c>
      <c r="G39" s="12" t="s">
        <v>40</v>
      </c>
      <c r="H39" s="12" t="s">
        <v>32</v>
      </c>
      <c r="I39" s="12" t="s">
        <v>23</v>
      </c>
      <c r="J39" s="12" t="s">
        <v>24</v>
      </c>
      <c r="K39" s="12" t="s">
        <v>25</v>
      </c>
      <c r="L39" s="13"/>
      <c r="M39" s="14">
        <v>1.3310185185185199E-2</v>
      </c>
      <c r="N39" s="15">
        <v>45923</v>
      </c>
      <c r="O39" s="12" t="str">
        <f t="shared" si="1"/>
        <v>الثلاثاء</v>
      </c>
      <c r="P39" s="12"/>
      <c r="Q39" s="12"/>
      <c r="R39" s="12">
        <f>IF('data table'!$K39="تم التسليم",1,IF('data table'!$K39="", "",0))</f>
        <v>0</v>
      </c>
      <c r="S39" s="12">
        <f t="shared" si="0"/>
        <v>1</v>
      </c>
      <c r="T39" s="12">
        <f>IF(Table2[[#This Row],[استجابة العميل]]="","",IF(Table2[[#This Row],[استجابة العميل]]="استجاب",1,0))</f>
        <v>1</v>
      </c>
      <c r="V39" s="15"/>
      <c r="W39" s="12"/>
    </row>
    <row r="40" spans="1:23" x14ac:dyDescent="0.55000000000000004">
      <c r="A40" s="16">
        <v>39</v>
      </c>
      <c r="B40" t="s">
        <v>83</v>
      </c>
      <c r="C40" s="12">
        <v>1094739476</v>
      </c>
      <c r="D40" s="12">
        <v>9872</v>
      </c>
      <c r="E40" s="22">
        <v>564738925</v>
      </c>
      <c r="F40" s="12" t="s">
        <v>28</v>
      </c>
      <c r="G40" s="12" t="s">
        <v>42</v>
      </c>
      <c r="H40" s="12" t="s">
        <v>37</v>
      </c>
      <c r="I40" s="12" t="s">
        <v>33</v>
      </c>
      <c r="J40" s="12" t="s">
        <v>34</v>
      </c>
      <c r="K40" s="12" t="s">
        <v>35</v>
      </c>
      <c r="L40" s="13"/>
      <c r="M40" s="14">
        <v>4.8379629629629597E-3</v>
      </c>
      <c r="N40" s="15">
        <v>45924</v>
      </c>
      <c r="O40" s="12" t="str">
        <f t="shared" si="1"/>
        <v>الأربعاء</v>
      </c>
      <c r="P40" s="12"/>
      <c r="Q40" s="12"/>
      <c r="R40" s="12">
        <f>IF('data table'!$K40="تم التسليم",1,IF('data table'!$K40="", "",0))</f>
        <v>0</v>
      </c>
      <c r="S40" s="12">
        <f t="shared" si="0"/>
        <v>1</v>
      </c>
      <c r="T40" s="12">
        <f>IF(Table2[[#This Row],[استجابة العميل]]="","",IF(Table2[[#This Row],[استجابة العميل]]="استجاب",1,0))</f>
        <v>0</v>
      </c>
      <c r="V40" s="15"/>
      <c r="W40" s="12"/>
    </row>
    <row r="41" spans="1:23" x14ac:dyDescent="0.55000000000000004">
      <c r="A41" s="16">
        <v>40</v>
      </c>
      <c r="B41" t="s">
        <v>132</v>
      </c>
      <c r="C41" s="12">
        <v>1023698542</v>
      </c>
      <c r="D41" s="12">
        <v>2365</v>
      </c>
      <c r="E41" s="22">
        <v>56473685</v>
      </c>
      <c r="F41" s="12" t="s">
        <v>45</v>
      </c>
      <c r="G41" s="12" t="s">
        <v>21</v>
      </c>
      <c r="H41" s="12" t="s">
        <v>32</v>
      </c>
      <c r="I41" s="12" t="s">
        <v>23</v>
      </c>
      <c r="J41" s="12" t="s">
        <v>24</v>
      </c>
      <c r="K41" s="12" t="s">
        <v>53</v>
      </c>
      <c r="L41" s="13">
        <v>100000</v>
      </c>
      <c r="M41" s="14">
        <v>6.9444444444444441E-3</v>
      </c>
      <c r="N41" s="15">
        <v>45925</v>
      </c>
      <c r="O41" s="12" t="str">
        <f>IF(N41="","",TEXT(N41,"dddd"))</f>
        <v>الخميس</v>
      </c>
      <c r="P41" s="12"/>
      <c r="Q41" s="12"/>
      <c r="R41" s="12">
        <f>IF('data table'!$K41="تم التسليم",1,IF('data table'!$K41="", "",0))</f>
        <v>1</v>
      </c>
      <c r="S41" s="12">
        <f>IF(ISBLANK(R41),1,1-R41)</f>
        <v>0</v>
      </c>
      <c r="T41" s="12">
        <f>IF(Table2[[#This Row],[استجابة العميل]]="","",IF(Table2[[#This Row],[استجابة العميل]]="استجاب",1,0))</f>
        <v>1</v>
      </c>
      <c r="V41" s="15"/>
      <c r="W41" s="12"/>
    </row>
  </sheetData>
  <phoneticPr fontId="3" type="noConversion"/>
  <dataValidations count="7">
    <dataValidation type="list" allowBlank="1" showInputMessage="1" showErrorMessage="1" sqref="K2:K41" xr:uid="{0108F3B6-E499-494E-9433-9C1B0A0B8611}">
      <formula1>"سيتم رفع الطلب,ادخال بيانات العقد,بانتظار المستندات,الائتمان,قبول عرض,تم التوقيع,التحقق,تم التسليم,مرفوض"</formula1>
    </dataValidation>
    <dataValidation type="list" allowBlank="1" showInputMessage="1" showErrorMessage="1" sqref="J2:J41" xr:uid="{0CFAB028-3B79-4347-AADD-44736999CB9F}">
      <formula1>"مهتم,غير مهتم,المتابعة لاحقاً,لم يرد,الرقم غير صحيح"</formula1>
    </dataValidation>
    <dataValidation type="list" allowBlank="1" showInputMessage="1" showErrorMessage="1" sqref="I2:I41" xr:uid="{37229C29-A00E-416B-A4DD-EEAE44EBBE9C}">
      <formula1>"استجاب,لم يستجب,غبر مهم"</formula1>
    </dataValidation>
    <dataValidation type="list" allowBlank="1" showInputMessage="1" showErrorMessage="1" sqref="H2:H41" xr:uid="{F311DCEA-8D80-40CA-9308-26A615506780}">
      <formula1>"تمويل شخصي,ايجارة,تمويل إضافي,شراء مديونية"</formula1>
    </dataValidation>
    <dataValidation type="list" allowBlank="1" showInputMessage="1" showErrorMessage="1" sqref="G2:G41" xr:uid="{CC73CDC0-D252-458A-8411-0B5CAC0E27D4}">
      <formula1>"قاعدة البيانات, طلبات الكاسل,اتصال وارد,حضوري,إحالة من عميل,بحث شخصي"</formula1>
    </dataValidation>
    <dataValidation type="list" allowBlank="1" showInputMessage="1" showErrorMessage="1" sqref="F2:F41" xr:uid="{E7E2543C-473A-471B-8975-45BE1A521502}">
      <formula1>"قاعدة البيانات, طلبات الكاسل,اتصال وارد,حضوري,إحالة من عميل,بحث شخصي, CRM"</formula1>
    </dataValidation>
    <dataValidation type="custom" showInputMessage="1" showErrorMessage="1" errorTitle="خطـ في حالة الطلب " error="رجاء تغيير حالة الطلب الى تم التسليم " sqref="L2:L1048576" xr:uid="{7FCCD68E-A7F9-4AA2-B1AF-35FDA76431A8}">
      <formula1>OR($K2="تم التسليم",L2="")</formula1>
    </dataValidation>
  </dataValidation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Sheet5</vt:lpstr>
      <vt:lpstr>data table</vt:lpstr>
    </vt:vector>
  </TitlesOfParts>
  <Company>Dina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 Abo El-Enin</dc:creator>
  <cp:lastModifiedBy>AREEJ Fathy</cp:lastModifiedBy>
  <dcterms:created xsi:type="dcterms:W3CDTF">2025-08-20T20:20:16Z</dcterms:created>
  <dcterms:modified xsi:type="dcterms:W3CDTF">2025-08-22T20:12:18Z</dcterms:modified>
</cp:coreProperties>
</file>